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hidePivotFieldList="1"/>
  <mc:AlternateContent xmlns:mc="http://schemas.openxmlformats.org/markup-compatibility/2006">
    <mc:Choice Requires="x15">
      <x15ac:absPath xmlns:x15ac="http://schemas.microsoft.com/office/spreadsheetml/2010/11/ac" url="/Users/mac/Library/Mobile Documents/com~apple~CloudDocs/Downloads/"/>
    </mc:Choice>
  </mc:AlternateContent>
  <xr:revisionPtr revIDLastSave="0" documentId="13_ncr:1_{01D64929-8F5B-9940-9F04-596104979814}" xr6:coauthVersionLast="47" xr6:coauthVersionMax="47" xr10:uidLastSave="{00000000-0000-0000-0000-000000000000}"/>
  <bookViews>
    <workbookView xWindow="0" yWindow="500" windowWidth="28800" windowHeight="16320" xr2:uid="{00000000-000D-0000-FFFF-FFFF00000000}"/>
  </bookViews>
  <sheets>
    <sheet name="Raw Data" sheetId="1" r:id="rId1"/>
    <sheet name="Service Analysis" sheetId="3" r:id="rId2"/>
    <sheet name="Insights" sheetId="5" r:id="rId3"/>
    <sheet name="Assumptions" sheetId="2" r:id="rId4"/>
  </sheets>
  <calcPr calcId="191029"/>
  <pivotCaches>
    <pivotCache cacheId="35" r:id="rId5"/>
    <pivotCache cacheId="36"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alcChain>
</file>

<file path=xl/sharedStrings.xml><?xml version="1.0" encoding="utf-8"?>
<sst xmlns="http://schemas.openxmlformats.org/spreadsheetml/2006/main" count="500" uniqueCount="157">
  <si>
    <t>PrimeEdge Consulting</t>
  </si>
  <si>
    <t>Consulting</t>
  </si>
  <si>
    <t>Photography</t>
  </si>
  <si>
    <t>Pulse Media House</t>
  </si>
  <si>
    <t>Media</t>
  </si>
  <si>
    <t>WellSpring Clinics</t>
  </si>
  <si>
    <t>Healthcare</t>
  </si>
  <si>
    <t>Strategy &amp; Growth Consulting</t>
  </si>
  <si>
    <t>Sterling Support Services</t>
  </si>
  <si>
    <t>Professional Services</t>
  </si>
  <si>
    <t>Media Marketing</t>
  </si>
  <si>
    <t>GreenGrid Energy</t>
  </si>
  <si>
    <t>Energy</t>
  </si>
  <si>
    <t>Podcast Production</t>
  </si>
  <si>
    <t>Beacon Learning Centre</t>
  </si>
  <si>
    <t>Education</t>
  </si>
  <si>
    <t>Urban Retail Group</t>
  </si>
  <si>
    <t>Retail</t>
  </si>
  <si>
    <t>MetroBuild Projects</t>
  </si>
  <si>
    <t>Construction</t>
  </si>
  <si>
    <t>Branding</t>
  </si>
  <si>
    <t>Skyline Properties</t>
  </si>
  <si>
    <t>Real Estate</t>
  </si>
  <si>
    <t>BrightCare Health</t>
  </si>
  <si>
    <t>Podcast Creation</t>
  </si>
  <si>
    <t>Harbor Freight Link</t>
  </si>
  <si>
    <t>Logistics</t>
  </si>
  <si>
    <t>PeakMart Stores</t>
  </si>
  <si>
    <t>BlueWave Foods</t>
  </si>
  <si>
    <t>FMCG</t>
  </si>
  <si>
    <t>NovaBank Digital</t>
  </si>
  <si>
    <t>Fintech</t>
  </si>
  <si>
    <t>TechNova Africa</t>
  </si>
  <si>
    <t>Technology</t>
  </si>
  <si>
    <t>Videography</t>
  </si>
  <si>
    <t>Apex Manufacturing</t>
  </si>
  <si>
    <t>Manufacturing</t>
  </si>
  <si>
    <t>Event Coverage</t>
  </si>
  <si>
    <t>ImpactRise Foundation</t>
  </si>
  <si>
    <t>NGO</t>
  </si>
  <si>
    <t>Lagos Business Hub</t>
  </si>
  <si>
    <t>Atlas Logistics</t>
  </si>
  <si>
    <t>Crestline Mobility</t>
  </si>
  <si>
    <t>Transportation</t>
  </si>
  <si>
    <t>₦900,000 - ₦3,600,000</t>
  </si>
  <si>
    <t>3-5</t>
  </si>
  <si>
    <t>21-30</t>
  </si>
  <si>
    <t>₦1,600,000 - ₦4,500,000</t>
  </si>
  <si>
    <t>5-7</t>
  </si>
  <si>
    <t>1-3</t>
  </si>
  <si>
    <t>₦1,000,000 - ₦2,600,000</t>
  </si>
  <si>
    <t>3-4</t>
  </si>
  <si>
    <t>3-7</t>
  </si>
  <si>
    <t>₦450,000 - ₦1,200,000</t>
  </si>
  <si>
    <t>2-3</t>
  </si>
  <si>
    <t>₦1,600,000 - ₦3,400,000</t>
  </si>
  <si>
    <t>7-14</t>
  </si>
  <si>
    <t>₦800,000 - ₦1,900,000</t>
  </si>
  <si>
    <t>4-6</t>
  </si>
  <si>
    <t>₦1,000,000 - ₦2,800,000</t>
  </si>
  <si>
    <t>10-20</t>
  </si>
  <si>
    <t>₦1,300,000 - ₦3,200,000</t>
  </si>
  <si>
    <t>15-30</t>
  </si>
  <si>
    <t>Note</t>
  </si>
  <si>
    <t>Project_ID</t>
  </si>
  <si>
    <t>Client_Name</t>
  </si>
  <si>
    <t>Industry</t>
  </si>
  <si>
    <t>Service</t>
  </si>
  <si>
    <t>Project_Date</t>
  </si>
  <si>
    <t>Revenue</t>
  </si>
  <si>
    <t>Cost</t>
  </si>
  <si>
    <t>Team_Size</t>
  </si>
  <si>
    <t>Project_Duration_Days</t>
  </si>
  <si>
    <t>Profit</t>
  </si>
  <si>
    <t>Row Labels</t>
  </si>
  <si>
    <t>Grand Total</t>
  </si>
  <si>
    <t>Sum of Revenue</t>
  </si>
  <si>
    <t>Sum of Profit</t>
  </si>
  <si>
    <t>Jan</t>
  </si>
  <si>
    <t>Feb</t>
  </si>
  <si>
    <t>Mar</t>
  </si>
  <si>
    <t>Apr</t>
  </si>
  <si>
    <t>May</t>
  </si>
  <si>
    <t>Jun</t>
  </si>
  <si>
    <t>Jul</t>
  </si>
  <si>
    <t>Aug</t>
  </si>
  <si>
    <t>Sep</t>
  </si>
  <si>
    <t>Oct</t>
  </si>
  <si>
    <t>Count of Project_ID</t>
  </si>
  <si>
    <t>Insight</t>
  </si>
  <si>
    <t>Recommendation</t>
  </si>
  <si>
    <t>Service Revenue Concentration</t>
  </si>
  <si>
    <t>The Agencys's revenue structure appears to be strategy-driven rather than production-driven, with Media Marketing, Branding, and Strategy Consulting contributing the largest share of revenue. This indicates that the Agency operates not merely as a production agency but as a strategic marketing and growth partner.</t>
  </si>
  <si>
    <t>Profitability vs Revenue</t>
  </si>
  <si>
    <t>Although Event Coverage generates strong revenue, its operational cost structure significantly reduces profitability compared to services such as Branding and Podcast Production.</t>
  </si>
  <si>
    <t>Theme</t>
  </si>
  <si>
    <t>Industry Revenue Drivers</t>
  </si>
  <si>
    <t>Focus marketing on:
• Tech startups
• Fintech companies
• Consulting firms
• Logistics platforms</t>
  </si>
  <si>
    <t>Operational Efficiency</t>
  </si>
  <si>
    <t>Grow:
• Media marketing retainers
• Podcast production contracts
• Brand strategy consulting</t>
  </si>
  <si>
    <t>Technology, Fintech, and Consulting sectors contribute the highest revenue share, suggesting the Agency's service offerings strongly resonate with high-growth, knowledge-driven industries.</t>
  </si>
  <si>
    <t>Production services such as event coverage require larger teams to execute projects, while strategic services such as branding and consulting generate comparable revenue with significantly smaller teams. This points that strategic services scale better.</t>
  </si>
  <si>
    <t>Operational and Revenue Performance Analysis of  Creative Agency's Services</t>
  </si>
  <si>
    <t>• Develop bundled strategy + media execution packages
• Expand retainer-based service contracts</t>
  </si>
  <si>
    <t>• Position Event Coverage as a client acquisition service
• Upsell branding and marketing retainers</t>
  </si>
  <si>
    <t>S/N</t>
  </si>
  <si>
    <t>Event Coverage is the largest revenue driver - Event Coverage generates ₦37M, the highest among all services. This indicates that live production and event-related projects form a major portion of the agency’s commercial activity.</t>
  </si>
  <si>
    <t>Media Marketing is the second strongest revenue contributor - Media Marketing produces ₦35.8M, closely following Event Coverage. This suggests that digital promotion and campaign management services are a major demand area for clients.</t>
  </si>
  <si>
    <t>Photography contributes the least revenue -  Photography generates ₦9.15M, the lowest among all services. This suggests it functions more as a supporting creative service within broader projects rather than as a standalone revenue driver.</t>
  </si>
  <si>
    <t>Media Marketing and Event Coverage generate the highest profit - Both Media Marketing and Event Coverage produce ₦18.3M in profit, making them the agency’s most profitable services. This indicates strong financial returns from both marketing campaigns and event-based productions.</t>
  </si>
  <si>
    <t>Strategy &amp; Growth Consulting and Podcast Creation also contribute strong profit - Strategy &amp; Growth Consulting (₦15.15M) and Podcast Creation (₦14.15M) generate substantial profit, suggesting that advisory and content production services play an important role in the agency’s profitability.</t>
  </si>
  <si>
    <t>Photography generates the lowest profit among services - Photography produces ₦4.9M, the lowest profit contribution. This suggests that photography likely operates as a smaller service offering or is bundled within larger creative projects rather than being a primary revenue driver.</t>
  </si>
  <si>
    <t>Education and Retail generate the highest revenue - Education contributes ₦19.7M, while Retail generates ₦19.65M, making them the top revenue-generating industries. This suggests that organizations within these sectors frequently require creative and media services.</t>
  </si>
  <si>
    <t>Construction, Media, and Logistics also contribute significant revenue - Construction (₦18M), Media (₦16.65M), and Logistics (₦15.35M) represent strong revenue segments. This indicates steady demand for creative production and marketing support across operational and infrastructure-focused industries.</t>
  </si>
  <si>
    <t>FMCG generates the lowest revenue contribution - FMCG contributes only ₦2.55M, the smallest share among all industries. This suggests that the agency has limited engagement with FMCG clients or that projects in this sector are currently smaller in scale.</t>
  </si>
  <si>
    <t>March recorded the highest monthly revenue - March generated ₦27.5M, making it the strongest revenue month. This suggests a period of high client activity or larger project engagements during that time.</t>
  </si>
  <si>
    <t>Revenue remained relatively strong between May and August - Between May (₦21.05M) and August (₦21M), revenue remained consistently above ₦21M for most months. This indicates a stable period of project delivery and client demand.</t>
  </si>
  <si>
    <t>Revenue declined toward the later months - Revenue fell from ₦21.1M in July to ₦15.15M in October, indicating a slowdown in project inflow or completion toward the end of the period.</t>
  </si>
  <si>
    <t>Media Marketing handled the highest number of projects - Media Marketing completed 16 projects, the highest among all services. This suggests it is one of the agency’s most frequently requested services.</t>
  </si>
  <si>
    <t>Most services maintain a similar project volume - Branding, Event Coverage, Photography, Podcast Production, and Strategy &amp; Growth Consulting each handled around 12 projects, indicating a relatively balanced distribution of work across services.</t>
  </si>
  <si>
    <t>Podcast Creation handled the fewest projects - Podcast Creation recorded 11 projects, the lowest project count among the services. This suggests it may be a more specialised offering with slightly lower demand.</t>
  </si>
  <si>
    <t>Overall Key Insights</t>
  </si>
  <si>
    <t>Photography operates as a supporting creative service - Photography contributes the lowest revenue (₦9.15M) and the lowest profit (₦4.9M) among all services. This suggests it is likely delivered as part of larger projects such as events or media campaigns rather than functioning as a standalone service.</t>
  </si>
  <si>
    <t>Revenue is generated across a wide range of industries - Clients come from multiple industries, with Education (₦19.7M) and Retail (₦19.65M) contributing the highest revenue. This indicates that the agency serves a diverse client base rather than depending on a single industry.</t>
  </si>
  <si>
    <t>Media Marketing handles the highest number of projects - Media Marketing delivered 16 projects, more than any other service. This reinforces its importance as a core service offering and suggests sustained demand for digital marketing and promotional campaigns.</t>
  </si>
  <si>
    <t>Revenue shows peaks during certain months - Revenue reached its highest point in March (₦27.5M) and remained relatively strong between May and August, indicating periods of increased client activity and project delivery.</t>
  </si>
  <si>
    <t>Monthly Revenue Analysis</t>
  </si>
  <si>
    <t>Revenue by Industry Analysis</t>
  </si>
  <si>
    <t>Profit by Service Analysis</t>
  </si>
  <si>
    <t>Revenue by Service Analysis</t>
  </si>
  <si>
    <t>Project Count by Service Analysis</t>
  </si>
  <si>
    <t>Key Insights</t>
  </si>
  <si>
    <t>Event Coverage and Media Marketing are the primary revenue and profit drivers  - Event Coverage (₦37M revenue) and Media Marketing (₦35.8M revenue) generate the largest share of revenue. Both services also produce the highest profit (₦18.3M each), indicating that they are not only frequently requested but also financially efficient for the agency.</t>
  </si>
  <si>
    <t>Creative Agency Services Performance Dashboard</t>
  </si>
  <si>
    <t>Key Metrics</t>
  </si>
  <si>
    <t>Total Revenue</t>
  </si>
  <si>
    <t>Total Profit</t>
  </si>
  <si>
    <t>Total Projects</t>
  </si>
  <si>
    <t>Most Profitable Service</t>
  </si>
  <si>
    <t>Media Marketing &amp; Event Coverage</t>
  </si>
  <si>
    <t>Top Revenue Industry</t>
  </si>
  <si>
    <t>Highest Revenue Month</t>
  </si>
  <si>
    <t>March</t>
  </si>
  <si>
    <r>
      <rPr>
        <b/>
        <sz val="11"/>
        <color theme="4" tint="-0.499984740745262"/>
        <rFont val="Calibri"/>
        <family val="2"/>
        <scheme val="minor"/>
      </rPr>
      <t>Dataset</t>
    </r>
    <r>
      <rPr>
        <sz val="11"/>
        <color theme="4" tint="-0.499984740745262"/>
        <rFont val="Calibri"/>
        <family val="2"/>
        <scheme val="minor"/>
      </rPr>
      <t xml:space="preserve">: 100 Projects | </t>
    </r>
    <r>
      <rPr>
        <b/>
        <sz val="11"/>
        <color theme="4" tint="-0.499984740745262"/>
        <rFont val="Calibri"/>
        <family val="2"/>
        <scheme val="minor"/>
      </rPr>
      <t>Revenue</t>
    </r>
    <r>
      <rPr>
        <sz val="11"/>
        <color theme="4" tint="-0.499984740745262"/>
        <rFont val="Calibri"/>
        <family val="2"/>
        <scheme val="minor"/>
      </rPr>
      <t xml:space="preserve">: ₦198.4M | </t>
    </r>
    <r>
      <rPr>
        <b/>
        <sz val="11"/>
        <color theme="4" tint="-0.499984740745262"/>
        <rFont val="Calibri"/>
        <family val="2"/>
        <scheme val="minor"/>
      </rPr>
      <t>Profit</t>
    </r>
    <r>
      <rPr>
        <sz val="11"/>
        <color theme="4" tint="-0.499984740745262"/>
        <rFont val="Calibri"/>
        <family val="2"/>
        <scheme val="minor"/>
      </rPr>
      <t>: 102.55M</t>
    </r>
  </si>
  <si>
    <t>Profit Margin</t>
  </si>
  <si>
    <t>Profit Margin by Service</t>
  </si>
  <si>
    <t>Simulated Creative Agency dataset for portfolio use only. All client names and figures are illustrative.</t>
  </si>
  <si>
    <t>Typical Team Size</t>
  </si>
  <si>
    <t>Typical Duration Days</t>
  </si>
  <si>
    <t>Typical Revenue Range (NGN)</t>
  </si>
  <si>
    <t>Strategic Recommendation</t>
  </si>
  <si>
    <t>Creative agencies achieve sustainable profitability by balancing high-revenue production services with scalable strategic advisory services.</t>
  </si>
  <si>
    <t>The agency should scale high-margin strategic services such as consulting and branding while using event coverage and media marketing as client acquisition channels. This hybrid model supports revenue growth while improving profitability.</t>
  </si>
  <si>
    <t>Revenue vs. Profit by Service Analysis</t>
  </si>
  <si>
    <t>Event Coverage and Media Marketing generate the strongest financial performance, producing ₦37,000,000 and ₦35,800,000 in revenue respectively, with both services generating ₦18,300,000 in profit, making them the agency’s most valuable service offerings.</t>
  </si>
  <si>
    <t>Strategy &amp; Growth Consulting and Podcast Creation demonstrate strong profitability, generating ₦27,400,000 and ₦27,150,000 in revenue, with profits of ₦15,150,000 and ₦14,150,000 respectively, indicating high-value strategic and content services.</t>
  </si>
  <si>
    <t>Photography generates the lowest revenue at ₦9,150,000 and profit of ₦4,900,000, but it maintains a strong profit margin of approximately 53.6%, suggesting that while the service operates on a smaller scale, it remains highly efficient and potentially scalable if demand increases.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</si>
</sst>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yyyy\-mm\-dd"/>
    <numFmt numFmtId="165" formatCode="\₦#,##0"/>
  </numFmts>
  <fonts count="27" x14ac:knownFonts="1">
    <font>
      <sz val="11"/>
      <color theme="1"/>
      <name val="Calibri"/>
      <family val="2"/>
      <scheme val="minor"/>
    </font>
    <font>
      <b/>
      <sz val="11"/>
      <color rgb="FFFFFFFF"/>
      <name val="Calibri"/>
      <family val="2"/>
    </font>
    <font>
      <b/>
      <sz val="11"/>
      <color theme="0"/>
      <name val="Calibri"/>
      <family val="2"/>
      <scheme val="minor"/>
    </font>
    <font>
      <b/>
      <sz val="11"/>
      <color theme="1"/>
      <name val="Cambria"/>
      <family val="1"/>
      <scheme val="major"/>
    </font>
    <font>
      <b/>
      <sz val="14"/>
      <color theme="1"/>
      <name val="Cambria"/>
      <family val="1"/>
      <scheme val="major"/>
    </font>
    <font>
      <b/>
      <sz val="24"/>
      <color theme="0"/>
      <name val="Cambria"/>
      <family val="1"/>
      <scheme val="major"/>
    </font>
    <font>
      <b/>
      <sz val="14"/>
      <color theme="0"/>
      <name val="Calibri"/>
      <family val="2"/>
      <scheme val="minor"/>
    </font>
    <font>
      <sz val="11"/>
      <color theme="0"/>
      <name val="Calibri"/>
      <family val="2"/>
      <scheme val="minor"/>
    </font>
    <font>
      <sz val="14"/>
      <color theme="0"/>
      <name val="Cambria"/>
      <family val="1"/>
      <scheme val="major"/>
    </font>
    <font>
      <b/>
      <sz val="14"/>
      <color theme="0"/>
      <name val="Cambria"/>
      <family val="1"/>
      <scheme val="major"/>
    </font>
    <font>
      <sz val="14"/>
      <color theme="1"/>
      <name val="Cambria"/>
      <family val="1"/>
      <scheme val="major"/>
    </font>
    <font>
      <sz val="14"/>
      <color theme="4" tint="-0.499984740745262"/>
      <name val="Cambria"/>
      <family val="1"/>
      <scheme val="major"/>
    </font>
    <font>
      <sz val="11"/>
      <color theme="4" tint="-0.499984740745262"/>
      <name val="Cambria"/>
      <family val="1"/>
      <scheme val="major"/>
    </font>
    <font>
      <b/>
      <sz val="14"/>
      <color theme="4" tint="-0.499984740745262"/>
      <name val="Cambria"/>
      <family val="1"/>
      <scheme val="major"/>
    </font>
    <font>
      <b/>
      <sz val="11"/>
      <color theme="4" tint="-0.499984740745262"/>
      <name val="Cambria"/>
      <family val="1"/>
      <scheme val="major"/>
    </font>
    <font>
      <sz val="11"/>
      <color theme="4" tint="-0.499984740745262"/>
      <name val="Calibri"/>
      <family val="2"/>
      <scheme val="minor"/>
    </font>
    <font>
      <b/>
      <sz val="11"/>
      <color theme="4" tint="-0.499984740745262"/>
      <name val="Calibri"/>
      <family val="2"/>
      <scheme val="minor"/>
    </font>
    <font>
      <b/>
      <sz val="11"/>
      <color theme="3" tint="-0.249977111117893"/>
      <name val="Calibri"/>
      <family val="2"/>
      <scheme val="minor"/>
    </font>
    <font>
      <b/>
      <sz val="16"/>
      <color theme="0"/>
      <name val="Cambria"/>
      <family val="1"/>
      <scheme val="major"/>
    </font>
    <font>
      <sz val="16"/>
      <color theme="4" tint="-0.249977111117893"/>
      <name val="Cambria"/>
      <family val="1"/>
      <scheme val="major"/>
    </font>
    <font>
      <sz val="11"/>
      <color theme="4" tint="-0.499984740745262"/>
      <name val="Calibri (Body)"/>
    </font>
    <font>
      <b/>
      <sz val="14"/>
      <color rgb="FFFFFFFF"/>
      <name val="Cambria"/>
      <family val="1"/>
      <scheme val="major"/>
    </font>
    <font>
      <sz val="24"/>
      <color theme="0"/>
      <name val="Cambria"/>
      <family val="1"/>
      <scheme val="major"/>
    </font>
    <font>
      <b/>
      <sz val="24"/>
      <color rgb="FFFFFFFF"/>
      <name val="Cambria"/>
      <family val="1"/>
      <scheme val="major"/>
    </font>
    <font>
      <sz val="24"/>
      <color theme="1"/>
      <name val="Cambria"/>
      <family val="1"/>
      <scheme val="major"/>
    </font>
    <font>
      <b/>
      <sz val="36"/>
      <color theme="0"/>
      <name val="Cambria"/>
      <family val="1"/>
      <scheme val="major"/>
    </font>
    <font>
      <sz val="36"/>
      <color theme="1"/>
      <name val="Calibri"/>
      <family val="2"/>
      <scheme val="minor"/>
    </font>
  </fonts>
  <fills count="12">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59999389629810485"/>
        <bgColor indexed="64"/>
      </patternFill>
    </fill>
    <fill>
      <patternFill patternType="solid">
        <fgColor theme="4" tint="-0.249977111117893"/>
        <bgColor indexed="64"/>
      </patternFill>
    </fill>
    <fill>
      <patternFill patternType="solid">
        <fgColor rgb="FF366092"/>
        <bgColor rgb="FF000000"/>
      </patternFill>
    </fill>
    <fill>
      <patternFill patternType="solid">
        <fgColor theme="4"/>
        <bgColor indexed="64"/>
      </patternFill>
    </fill>
    <fill>
      <patternFill patternType="solid">
        <fgColor theme="4" tint="-0.249977111117893"/>
        <bgColor theme="4" tint="0.59999389629810485"/>
      </patternFill>
    </fill>
  </fills>
  <borders count="9">
    <border>
      <left/>
      <right/>
      <top/>
      <bottom/>
      <diagonal/>
    </border>
    <border>
      <left/>
      <right/>
      <top/>
      <bottom style="thin">
        <color rgb="FFD9E1F2"/>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0"/>
      </right>
      <top style="thin">
        <color theme="0"/>
      </top>
      <bottom/>
      <diagonal/>
    </border>
    <border>
      <left style="thin">
        <color theme="0"/>
      </left>
      <right/>
      <top style="thin">
        <color theme="0"/>
      </top>
      <bottom/>
      <diagonal/>
    </border>
    <border>
      <left/>
      <right/>
      <top style="thin">
        <color theme="0"/>
      </top>
      <bottom/>
      <diagonal/>
    </border>
    <border>
      <left style="thin">
        <color theme="4" tint="0.39997558519241921"/>
      </left>
      <right/>
      <top style="thin">
        <color theme="4" tint="0.39997558519241921"/>
      </top>
      <bottom/>
      <diagonal/>
    </border>
    <border>
      <left style="thin">
        <color theme="4" tint="0.39997558519241921"/>
      </left>
      <right/>
      <top/>
      <bottom/>
      <diagonal/>
    </border>
  </borders>
  <cellStyleXfs count="1">
    <xf numFmtId="0" fontId="0" fillId="0" borderId="0"/>
  </cellStyleXfs>
  <cellXfs count="101">
    <xf numFmtId="0" fontId="0" fillId="0" borderId="0" xfId="0"/>
    <xf numFmtId="0" fontId="1" fillId="2" borderId="1" xfId="0" applyFont="1" applyFill="1" applyBorder="1" applyAlignment="1">
      <alignment horizontal="center" vertical="center"/>
    </xf>
    <xf numFmtId="0" fontId="0" fillId="0" borderId="0" xfId="0" applyAlignment="1">
      <alignment horizontal="center"/>
    </xf>
    <xf numFmtId="164" fontId="0" fillId="0" borderId="0" xfId="0" applyNumberFormat="1"/>
    <xf numFmtId="165" fontId="0" fillId="0" borderId="0" xfId="0" applyNumberFormat="1"/>
    <xf numFmtId="0" fontId="0" fillId="0" borderId="0" xfId="0" applyAlignment="1">
      <alignment wrapText="1"/>
    </xf>
    <xf numFmtId="165" fontId="0" fillId="0" borderId="0" xfId="0" applyNumberFormat="1" applyAlignment="1">
      <alignment horizontal="center"/>
    </xf>
    <xf numFmtId="0" fontId="0" fillId="0" borderId="0" xfId="0" applyAlignment="1">
      <alignment horizontal="left"/>
    </xf>
    <xf numFmtId="0" fontId="4" fillId="0" borderId="0" xfId="0" applyFont="1"/>
    <xf numFmtId="0" fontId="6" fillId="0" borderId="0" xfId="0" applyFont="1"/>
    <xf numFmtId="0" fontId="7" fillId="0" borderId="0" xfId="0" applyFont="1" applyAlignment="1">
      <alignment wrapText="1"/>
    </xf>
    <xf numFmtId="0" fontId="0" fillId="0" borderId="0" xfId="0" applyAlignment="1">
      <alignment horizontal="right"/>
    </xf>
    <xf numFmtId="0" fontId="7" fillId="6" borderId="0" xfId="0" applyFont="1" applyFill="1"/>
    <xf numFmtId="0" fontId="7" fillId="0" borderId="0" xfId="0" applyFont="1"/>
    <xf numFmtId="0" fontId="10" fillId="0" borderId="0" xfId="0" applyFont="1"/>
    <xf numFmtId="0" fontId="3" fillId="3" borderId="3" xfId="0" applyFont="1" applyFill="1" applyBorder="1"/>
    <xf numFmtId="0" fontId="10" fillId="0" borderId="0" xfId="0" applyFont="1" applyAlignment="1">
      <alignment horizontal="left"/>
    </xf>
    <xf numFmtId="0" fontId="11" fillId="0" borderId="0" xfId="0" pivotButton="1" applyFont="1"/>
    <xf numFmtId="0" fontId="12" fillId="0" borderId="0" xfId="0" applyFont="1"/>
    <xf numFmtId="0" fontId="13" fillId="3" borderId="7" xfId="0" applyFont="1" applyFill="1" applyBorder="1" applyAlignment="1">
      <alignment horizontal="right"/>
    </xf>
    <xf numFmtId="0" fontId="13" fillId="3" borderId="2" xfId="0" applyFont="1" applyFill="1" applyBorder="1"/>
    <xf numFmtId="0" fontId="15" fillId="0" borderId="0" xfId="0" applyFont="1" applyAlignment="1">
      <alignment horizontal="left"/>
    </xf>
    <xf numFmtId="0" fontId="15" fillId="0" borderId="0" xfId="0" applyFont="1"/>
    <xf numFmtId="0" fontId="11" fillId="0" borderId="0" xfId="0" pivotButton="1" applyFont="1" applyAlignment="1">
      <alignment horizontal="left"/>
    </xf>
    <xf numFmtId="0" fontId="15" fillId="4" borderId="0" xfId="0" applyFont="1" applyFill="1"/>
    <xf numFmtId="0" fontId="15" fillId="4" borderId="0" xfId="0" applyFont="1" applyFill="1" applyAlignment="1">
      <alignment horizontal="left"/>
    </xf>
    <xf numFmtId="0" fontId="3" fillId="0" borderId="0" xfId="0" applyFont="1"/>
    <xf numFmtId="0" fontId="14" fillId="0" borderId="0" xfId="0" applyFont="1"/>
    <xf numFmtId="0" fontId="15" fillId="3" borderId="0" xfId="0" applyFont="1" applyFill="1"/>
    <xf numFmtId="0" fontId="7" fillId="6" borderId="7" xfId="0" applyFont="1" applyFill="1" applyBorder="1" applyAlignment="1">
      <alignment horizontal="right"/>
    </xf>
    <xf numFmtId="0" fontId="15" fillId="3" borderId="7" xfId="0" applyFont="1" applyFill="1" applyBorder="1" applyAlignment="1">
      <alignment horizontal="right"/>
    </xf>
    <xf numFmtId="0" fontId="7" fillId="6" borderId="2" xfId="0" applyFont="1" applyFill="1" applyBorder="1" applyAlignment="1">
      <alignment horizontal="right"/>
    </xf>
    <xf numFmtId="0" fontId="7" fillId="6" borderId="0" xfId="0" applyFont="1" applyFill="1" applyAlignment="1">
      <alignment wrapText="1"/>
    </xf>
    <xf numFmtId="6" fontId="0" fillId="0" borderId="0" xfId="0" applyNumberFormat="1"/>
    <xf numFmtId="165" fontId="15" fillId="0" borderId="0" xfId="0" applyNumberFormat="1" applyFont="1" applyAlignment="1">
      <alignment horizontal="right"/>
    </xf>
    <xf numFmtId="0" fontId="11" fillId="0" borderId="0" xfId="0" applyFont="1" applyAlignment="1">
      <alignment horizontal="right"/>
    </xf>
    <xf numFmtId="0" fontId="15" fillId="0" borderId="0" xfId="0" applyFont="1" applyAlignment="1">
      <alignment horizontal="right"/>
    </xf>
    <xf numFmtId="0" fontId="9" fillId="8" borderId="0" xfId="0" applyFont="1" applyFill="1"/>
    <xf numFmtId="0" fontId="7" fillId="7" borderId="0" xfId="0" applyFont="1" applyFill="1"/>
    <xf numFmtId="0" fontId="7" fillId="0" borderId="0" xfId="0" applyFont="1" applyAlignment="1">
      <alignment horizontal="right"/>
    </xf>
    <xf numFmtId="10" fontId="1" fillId="2" borderId="1" xfId="0" applyNumberFormat="1" applyFont="1" applyFill="1" applyBorder="1" applyAlignment="1">
      <alignment horizontal="center" vertical="center"/>
    </xf>
    <xf numFmtId="10" fontId="0" fillId="0" borderId="0" xfId="0" applyNumberFormat="1" applyAlignment="1">
      <alignment horizontal="center"/>
    </xf>
    <xf numFmtId="10" fontId="0" fillId="0" borderId="0" xfId="0" applyNumberFormat="1"/>
    <xf numFmtId="0" fontId="2" fillId="0" borderId="0" xfId="0" applyFont="1"/>
    <xf numFmtId="0" fontId="19" fillId="0" borderId="0" xfId="0" applyFont="1"/>
    <xf numFmtId="0" fontId="9" fillId="8" borderId="0" xfId="0" applyFont="1" applyFill="1" applyAlignment="1">
      <alignment horizontal="right"/>
    </xf>
    <xf numFmtId="10" fontId="7" fillId="4" borderId="0" xfId="0" applyNumberFormat="1" applyFont="1" applyFill="1"/>
    <xf numFmtId="6" fontId="15" fillId="4" borderId="0" xfId="0" applyNumberFormat="1" applyFont="1" applyFill="1"/>
    <xf numFmtId="0" fontId="15" fillId="0" borderId="0" xfId="0" applyFont="1" applyAlignment="1">
      <alignment horizontal="left" wrapText="1"/>
    </xf>
    <xf numFmtId="0" fontId="16" fillId="0" borderId="0" xfId="0" applyFont="1"/>
    <xf numFmtId="0" fontId="15" fillId="0" borderId="0" xfId="0" applyFont="1" applyAlignment="1">
      <alignment wrapText="1"/>
    </xf>
    <xf numFmtId="10" fontId="7" fillId="0" borderId="0" xfId="0" applyNumberFormat="1" applyFont="1"/>
    <xf numFmtId="0" fontId="2" fillId="0" borderId="0" xfId="0" applyFont="1" applyAlignment="1">
      <alignment horizontal="left"/>
    </xf>
    <xf numFmtId="0" fontId="20" fillId="0" borderId="0" xfId="0" applyFont="1"/>
    <xf numFmtId="0" fontId="8" fillId="8" borderId="0" xfId="0" applyFont="1" applyFill="1"/>
    <xf numFmtId="0" fontId="16" fillId="3" borderId="0" xfId="0" applyFont="1" applyFill="1" applyProtection="1">
      <protection locked="0"/>
    </xf>
    <xf numFmtId="0" fontId="15" fillId="3" borderId="0" xfId="0" applyFont="1" applyFill="1" applyAlignment="1" applyProtection="1">
      <alignment wrapText="1"/>
      <protection locked="0"/>
    </xf>
    <xf numFmtId="0" fontId="16" fillId="0" borderId="0" xfId="0" applyFont="1" applyAlignment="1" applyProtection="1">
      <alignment wrapText="1"/>
      <protection locked="0"/>
    </xf>
    <xf numFmtId="0" fontId="15" fillId="0" borderId="0" xfId="0" applyFont="1" applyAlignment="1" applyProtection="1">
      <alignment wrapText="1"/>
      <protection locked="0"/>
    </xf>
    <xf numFmtId="0" fontId="16" fillId="0" borderId="0" xfId="0" applyFont="1" applyProtection="1">
      <protection locked="0"/>
    </xf>
    <xf numFmtId="0" fontId="9" fillId="8" borderId="0" xfId="0" applyFont="1" applyFill="1" applyAlignment="1">
      <alignment horizontal="left"/>
    </xf>
    <xf numFmtId="0" fontId="24" fillId="0" borderId="0" xfId="0" applyFont="1" applyAlignment="1">
      <alignment horizontal="left"/>
    </xf>
    <xf numFmtId="0" fontId="5" fillId="8" borderId="0" xfId="0" applyFont="1" applyFill="1"/>
    <xf numFmtId="0" fontId="24" fillId="0" borderId="0" xfId="0" applyFont="1"/>
    <xf numFmtId="0" fontId="24" fillId="0" borderId="0" xfId="0" applyFont="1" applyAlignment="1">
      <alignment horizontal="right"/>
    </xf>
    <xf numFmtId="0" fontId="26" fillId="0" borderId="0" xfId="0" applyFont="1"/>
    <xf numFmtId="0" fontId="21" fillId="8" borderId="0" xfId="0" applyFont="1" applyFill="1" applyAlignment="1">
      <alignment horizontal="left"/>
    </xf>
    <xf numFmtId="0" fontId="6" fillId="11" borderId="0" xfId="0" applyFont="1" applyFill="1" applyAlignment="1" applyProtection="1">
      <alignment wrapText="1"/>
      <protection locked="0"/>
    </xf>
    <xf numFmtId="0" fontId="7" fillId="6" borderId="8" xfId="0" applyFont="1" applyFill="1" applyBorder="1" applyAlignment="1">
      <alignment horizontal="left"/>
    </xf>
    <xf numFmtId="0" fontId="7" fillId="6" borderId="0" xfId="0" applyFont="1" applyFill="1" applyAlignment="1">
      <alignment horizontal="left"/>
    </xf>
    <xf numFmtId="0" fontId="5" fillId="8" borderId="0" xfId="0" applyFont="1" applyFill="1" applyAlignment="1">
      <alignment horizontal="left"/>
    </xf>
    <xf numFmtId="0" fontId="3" fillId="3" borderId="0" xfId="0" applyFont="1" applyFill="1" applyAlignment="1">
      <alignment horizontal="center"/>
    </xf>
    <xf numFmtId="0" fontId="15" fillId="4" borderId="0" xfId="0" applyFont="1" applyFill="1" applyAlignment="1">
      <alignment horizontal="right"/>
    </xf>
    <xf numFmtId="0" fontId="7" fillId="7" borderId="0" xfId="0" applyFont="1" applyFill="1" applyAlignment="1">
      <alignment horizontal="right"/>
    </xf>
    <xf numFmtId="0" fontId="25" fillId="8" borderId="0" xfId="0" applyFont="1" applyFill="1" applyAlignment="1">
      <alignment horizontal="left"/>
    </xf>
    <xf numFmtId="0" fontId="15" fillId="4" borderId="0" xfId="0" applyFont="1" applyFill="1" applyAlignment="1">
      <alignment horizontal="left"/>
    </xf>
    <xf numFmtId="0" fontId="7" fillId="0" borderId="8" xfId="0" applyFont="1" applyBorder="1" applyAlignment="1">
      <alignment horizontal="center"/>
    </xf>
    <xf numFmtId="0" fontId="7" fillId="0" borderId="0" xfId="0" applyFont="1" applyAlignment="1">
      <alignment horizontal="center"/>
    </xf>
    <xf numFmtId="0" fontId="18" fillId="0" borderId="0" xfId="0" applyFont="1" applyAlignment="1">
      <alignment horizontal="left"/>
    </xf>
    <xf numFmtId="0" fontId="22" fillId="8" borderId="0" xfId="0" applyFont="1" applyFill="1" applyAlignment="1">
      <alignment horizontal="right"/>
    </xf>
    <xf numFmtId="6" fontId="15" fillId="4" borderId="0" xfId="0" applyNumberFormat="1" applyFont="1" applyFill="1" applyAlignment="1">
      <alignment horizontal="right"/>
    </xf>
    <xf numFmtId="6" fontId="7" fillId="7" borderId="0" xfId="0" applyNumberFormat="1" applyFont="1" applyFill="1" applyAlignment="1">
      <alignment horizontal="right"/>
    </xf>
    <xf numFmtId="0" fontId="7" fillId="0" borderId="8" xfId="0" applyFont="1" applyBorder="1" applyAlignment="1">
      <alignment horizontal="left"/>
    </xf>
    <xf numFmtId="0" fontId="7" fillId="0" borderId="0" xfId="0" applyFont="1" applyAlignment="1">
      <alignment horizontal="left"/>
    </xf>
    <xf numFmtId="0" fontId="16" fillId="3" borderId="8" xfId="0" applyFont="1" applyFill="1" applyBorder="1" applyAlignment="1">
      <alignment horizontal="left" wrapText="1"/>
    </xf>
    <xf numFmtId="0" fontId="17" fillId="3" borderId="0" xfId="0" applyFont="1" applyFill="1" applyAlignment="1">
      <alignment horizontal="left"/>
    </xf>
    <xf numFmtId="0" fontId="15" fillId="3" borderId="8" xfId="0" applyFont="1" applyFill="1" applyBorder="1" applyAlignment="1">
      <alignment horizontal="left"/>
    </xf>
    <xf numFmtId="0" fontId="15" fillId="3" borderId="0" xfId="0" applyFont="1" applyFill="1" applyAlignment="1">
      <alignment horizontal="left"/>
    </xf>
    <xf numFmtId="0" fontId="23" fillId="9" borderId="0" xfId="0" applyFont="1" applyFill="1" applyAlignment="1">
      <alignment horizontal="left"/>
    </xf>
    <xf numFmtId="0" fontId="13" fillId="3" borderId="8" xfId="0" applyFont="1" applyFill="1" applyBorder="1" applyAlignment="1">
      <alignment horizontal="left"/>
    </xf>
    <xf numFmtId="0" fontId="13" fillId="3" borderId="0" xfId="0" applyFont="1" applyFill="1" applyAlignment="1">
      <alignment horizontal="left"/>
    </xf>
    <xf numFmtId="0" fontId="5" fillId="10" borderId="0" xfId="0" applyFont="1" applyFill="1" applyAlignment="1">
      <alignment horizontal="left"/>
    </xf>
    <xf numFmtId="0" fontId="15" fillId="4" borderId="0" xfId="0" applyFont="1" applyFill="1" applyAlignment="1">
      <alignment horizontal="left" wrapText="1"/>
    </xf>
    <xf numFmtId="0" fontId="5" fillId="5" borderId="5" xfId="0" applyFont="1" applyFill="1" applyBorder="1" applyAlignment="1">
      <alignment horizontal="left"/>
    </xf>
    <xf numFmtId="0" fontId="5" fillId="5" borderId="6" xfId="0" applyFont="1" applyFill="1" applyBorder="1" applyAlignment="1">
      <alignment horizontal="left"/>
    </xf>
    <xf numFmtId="0" fontId="5" fillId="5" borderId="4" xfId="0" applyFont="1" applyFill="1" applyBorder="1" applyAlignment="1">
      <alignment horizontal="left"/>
    </xf>
    <xf numFmtId="0" fontId="6" fillId="11" borderId="0" xfId="0" applyFont="1" applyFill="1" applyAlignment="1">
      <alignment horizontal="left"/>
    </xf>
    <xf numFmtId="0" fontId="15" fillId="3" borderId="0" xfId="0" applyFont="1" applyFill="1" applyAlignment="1">
      <alignment horizontal="left" wrapText="1"/>
    </xf>
    <xf numFmtId="0" fontId="15" fillId="0" borderId="0" xfId="0" applyFont="1" applyAlignment="1">
      <alignment horizontal="left" wrapText="1"/>
    </xf>
    <xf numFmtId="0" fontId="22" fillId="10" borderId="0" xfId="0" applyFont="1" applyFill="1" applyAlignment="1">
      <alignment horizontal="left"/>
    </xf>
    <xf numFmtId="0" fontId="20" fillId="4" borderId="0" xfId="0" applyFont="1" applyFill="1" applyAlignment="1">
      <alignment horizontal="left" wrapText="1"/>
    </xf>
  </cellXfs>
  <cellStyles count="1">
    <cellStyle name="Normal" xfId="0" builtinId="0"/>
  </cellStyles>
  <dxfs count="107">
    <dxf>
      <numFmt numFmtId="14" formatCode="0.00%"/>
      <alignment horizontal="center" vertical="bottom" textRotation="0" wrapText="0" indent="0" justifyLastLine="0" shrinkToFit="0" readingOrder="0"/>
    </dxf>
    <dxf>
      <numFmt numFmtId="165"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right"/>
    </dxf>
    <dxf>
      <alignment horizontal="right"/>
    </dxf>
    <dxf>
      <font>
        <color theme="4" tint="-0.499984740745262"/>
      </font>
    </dxf>
    <dxf>
      <font>
        <color theme="4" tint="-0.499984740745262"/>
      </font>
    </dxf>
    <dxf>
      <font>
        <color theme="4" tint="-0.499984740745262"/>
      </font>
    </dxf>
    <dxf>
      <font>
        <color theme="4" tint="-0.499984740745262"/>
      </font>
    </dxf>
    <dxf>
      <font>
        <color theme="4" tint="-0.499984740745262"/>
      </font>
    </dxf>
    <dxf>
      <font>
        <color theme="1"/>
      </font>
    </dxf>
    <dxf>
      <alignment horizontal="left"/>
    </dxf>
    <dxf>
      <alignment horizontal="left"/>
    </dxf>
    <dxf>
      <font>
        <name val="Cambria"/>
        <family val="1"/>
        <scheme val="major"/>
      </font>
    </dxf>
    <dxf>
      <font>
        <name val="Cambria"/>
        <family val="1"/>
        <scheme val="major"/>
      </font>
    </dxf>
    <dxf>
      <font>
        <color theme="0"/>
      </font>
    </dxf>
    <dxf>
      <font>
        <sz val="14"/>
      </font>
    </dxf>
    <dxf>
      <font>
        <sz val="14"/>
      </font>
    </dxf>
    <dxf>
      <alignment horizontal="right"/>
    </dxf>
    <dxf>
      <alignment horizontal="right"/>
    </dxf>
    <dxf>
      <font>
        <color theme="4" tint="-0.499984740745262"/>
      </font>
    </dxf>
    <dxf>
      <font>
        <color theme="4" tint="-0.499984740745262"/>
      </font>
    </dxf>
    <dxf>
      <font>
        <color theme="4" tint="-0.499984740745262"/>
      </font>
    </dxf>
    <dxf>
      <font>
        <color theme="4" tint="-0.499984740745262"/>
      </font>
    </dxf>
    <dxf>
      <font>
        <color theme="4" tint="-0.499984740745262"/>
      </font>
    </dxf>
    <dxf>
      <alignment horizontal="left"/>
    </dxf>
    <dxf>
      <font>
        <color theme="1"/>
      </font>
    </dxf>
    <dxf>
      <font>
        <color theme="1"/>
      </font>
    </dxf>
    <dxf>
      <font>
        <sz val="14"/>
      </font>
    </dxf>
    <dxf>
      <font>
        <sz val="14"/>
      </font>
    </dxf>
    <dxf>
      <font>
        <name val="Cambria"/>
        <family val="1"/>
        <scheme val="major"/>
      </font>
    </dxf>
    <dxf>
      <font>
        <name val="Cambria"/>
        <family val="1"/>
        <scheme val="major"/>
      </font>
    </dxf>
    <dxf>
      <alignment horizontal="left"/>
    </dxf>
    <dxf>
      <alignment horizontal="left"/>
    </dxf>
    <dxf>
      <alignment horizontal="right"/>
    </dxf>
    <dxf>
      <alignment horizontal="right"/>
    </dxf>
    <dxf>
      <font>
        <color theme="4" tint="-0.499984740745262"/>
      </font>
    </dxf>
    <dxf>
      <font>
        <color theme="4" tint="-0.499984740745262"/>
      </font>
    </dxf>
    <dxf>
      <font>
        <color theme="4" tint="-0.499984740745262"/>
      </font>
    </dxf>
    <dxf>
      <font>
        <color theme="4" tint="-0.499984740745262"/>
      </font>
    </dxf>
    <dxf>
      <font>
        <color theme="4" tint="-0.499984740745262"/>
      </font>
    </dxf>
    <dxf>
      <font>
        <color theme="1"/>
      </font>
    </dxf>
    <dxf>
      <font>
        <color theme="1"/>
      </font>
    </dxf>
    <dxf>
      <alignment horizontal="left"/>
    </dxf>
    <dxf>
      <alignment horizontal="left"/>
    </dxf>
    <dxf>
      <font>
        <color theme="0"/>
      </font>
    </dxf>
    <dxf>
      <font>
        <color theme="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4"/>
      </font>
    </dxf>
    <dxf>
      <font>
        <sz val="14"/>
      </font>
    </dxf>
    <dxf>
      <font>
        <name val="Cambria"/>
        <family val="1"/>
        <scheme val="major"/>
      </font>
    </dxf>
    <dxf>
      <font>
        <name val="Cambria"/>
        <family val="1"/>
        <scheme val="major"/>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alignment horizontal="right"/>
    </dxf>
    <dxf>
      <alignment horizontal="right"/>
    </dxf>
    <dxf>
      <font>
        <color theme="4" tint="-0.499984740745262"/>
      </font>
    </dxf>
    <dxf>
      <font>
        <color theme="4" tint="-0.499984740745262"/>
      </font>
    </dxf>
    <dxf>
      <font>
        <color theme="4" tint="-0.499984740745262"/>
      </font>
    </dxf>
    <dxf>
      <font>
        <color theme="4" tint="-0.499984740745262"/>
      </font>
    </dxf>
    <dxf>
      <font>
        <color theme="4" tint="-0.499984740745262"/>
      </font>
    </dxf>
    <dxf>
      <alignment horizontal="left"/>
    </dxf>
    <dxf>
      <font>
        <color theme="1"/>
      </font>
    </dxf>
    <dxf>
      <font>
        <color theme="1"/>
      </font>
    </dxf>
    <dxf>
      <alignment horizontal="left"/>
    </dxf>
    <dxf>
      <alignment horizontal="left"/>
    </dxf>
    <dxf>
      <alignment horizontal="left"/>
    </dxf>
    <dxf>
      <font>
        <color theme="0"/>
      </font>
    </dxf>
    <dxf>
      <font>
        <color theme="0"/>
      </font>
    </dxf>
    <dxf>
      <font>
        <sz val="14"/>
      </font>
    </dxf>
    <dxf>
      <font>
        <sz val="14"/>
      </font>
    </dxf>
    <dxf>
      <font>
        <name val="Cambria"/>
        <family val="1"/>
        <scheme val="major"/>
      </font>
    </dxf>
    <dxf>
      <font>
        <name val="Cambria"/>
        <family val="1"/>
        <scheme val="major"/>
      </font>
    </dxf>
    <dxf>
      <alignment horizontal="right"/>
    </dxf>
    <dxf>
      <alignment horizontal="right"/>
    </dxf>
    <dxf>
      <font>
        <color theme="4" tint="-0.499984740745262"/>
      </font>
    </dxf>
    <dxf>
      <font>
        <color theme="4" tint="-0.499984740745262"/>
      </font>
    </dxf>
    <dxf>
      <font>
        <color theme="4" tint="-0.499984740745262"/>
      </font>
    </dxf>
    <dxf>
      <font>
        <color theme="4" tint="-0.499984740745262"/>
      </font>
    </dxf>
    <dxf>
      <font>
        <color theme="4" tint="-0.499984740745262"/>
      </font>
    </dxf>
    <dxf>
      <font>
        <color theme="1"/>
      </font>
    </dxf>
    <dxf>
      <font>
        <color theme="1"/>
      </font>
    </dxf>
    <dxf>
      <alignment horizontal="left"/>
    </dxf>
    <dxf>
      <alignment horizontal="left"/>
    </dxf>
    <dxf>
      <font>
        <name val="Cambria"/>
        <family val="1"/>
        <scheme val="major"/>
      </font>
    </dxf>
    <dxf>
      <font>
        <name val="Cambria"/>
        <family val="1"/>
        <scheme val="major"/>
      </font>
    </dxf>
    <dxf>
      <font>
        <sz val="14"/>
      </font>
    </dxf>
    <dxf>
      <font>
        <sz val="14"/>
      </font>
    </dxf>
    <dxf>
      <font>
        <color theme="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[Creative-Agency-Projects-Dataset.xlsx]Service 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Service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'Service Analysis'!$B$32</c:f>
              <c:strCache>
                <c:ptCount val="1"/>
                <c:pt idx="0">
                  <c:v>Total</c:v>
                </c:pt>
              </c:strCache>
            </c:strRef>
          </c:tx>
          <c:spPr>
            <a:solidFill>
              <a:schemeClr val="accent1"/>
            </a:solidFill>
            <a:ln>
              <a:noFill/>
            </a:ln>
            <a:effectLst/>
          </c:spPr>
          <c:invertIfNegative val="0"/>
          <c:cat>
            <c:strRef>
              <c:f>'Service Analysis'!$A$33:$A$41</c:f>
              <c:strCache>
                <c:ptCount val="8"/>
                <c:pt idx="0">
                  <c:v>Branding</c:v>
                </c:pt>
                <c:pt idx="1">
                  <c:v>Event Coverage</c:v>
                </c:pt>
                <c:pt idx="2">
                  <c:v>Media Marketing</c:v>
                </c:pt>
                <c:pt idx="3">
                  <c:v>Photography</c:v>
                </c:pt>
                <c:pt idx="4">
                  <c:v>Podcast Creation</c:v>
                </c:pt>
                <c:pt idx="5">
                  <c:v>Podcast Production</c:v>
                </c:pt>
                <c:pt idx="6">
                  <c:v>Strategy &amp; Growth Consulting</c:v>
                </c:pt>
                <c:pt idx="7">
                  <c:v>Videography</c:v>
                </c:pt>
              </c:strCache>
            </c:strRef>
          </c:cat>
          <c:val>
            <c:numRef>
              <c:f>'Service Analysis'!$B$33:$B$41</c:f>
              <c:numCache>
                <c:formatCode>\₦#,##0</c:formatCode>
                <c:ptCount val="8"/>
                <c:pt idx="0">
                  <c:v>11300000</c:v>
                </c:pt>
                <c:pt idx="1">
                  <c:v>18300000</c:v>
                </c:pt>
                <c:pt idx="2">
                  <c:v>18300000</c:v>
                </c:pt>
                <c:pt idx="3">
                  <c:v>4900000</c:v>
                </c:pt>
                <c:pt idx="4">
                  <c:v>14150000</c:v>
                </c:pt>
                <c:pt idx="5">
                  <c:v>8500000</c:v>
                </c:pt>
                <c:pt idx="6">
                  <c:v>15150000</c:v>
                </c:pt>
                <c:pt idx="7">
                  <c:v>11950000</c:v>
                </c:pt>
              </c:numCache>
            </c:numRef>
          </c:val>
          <c:extLst>
            <c:ext xmlns:c16="http://schemas.microsoft.com/office/drawing/2014/chart" uri="{C3380CC4-5D6E-409C-BE32-E72D297353CC}">
              <c16:uniqueId val="{00000000-261C-2644-AD44-B40FD31FD128}"/>
            </c:ext>
          </c:extLst>
        </c:ser>
        <c:dLbls>
          <c:showLegendKey val="0"/>
          <c:showVal val="0"/>
          <c:showCatName val="0"/>
          <c:showSerName val="0"/>
          <c:showPercent val="0"/>
          <c:showBubbleSize val="0"/>
        </c:dLbls>
        <c:gapWidth val="150"/>
        <c:axId val="1823650127"/>
        <c:axId val="1489922143"/>
      </c:barChart>
      <c:catAx>
        <c:axId val="1823650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89922143"/>
        <c:crosses val="autoZero"/>
        <c:auto val="1"/>
        <c:lblAlgn val="ctr"/>
        <c:lblOffset val="100"/>
        <c:noMultiLvlLbl val="0"/>
      </c:catAx>
      <c:valAx>
        <c:axId val="1489922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2365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[Creative-Agency-Projects-Dataset.xlsx]Service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Service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'Service Analysis'!$B$14</c:f>
              <c:strCache>
                <c:ptCount val="1"/>
                <c:pt idx="0">
                  <c:v>Total</c:v>
                </c:pt>
              </c:strCache>
            </c:strRef>
          </c:tx>
          <c:spPr>
            <a:solidFill>
              <a:schemeClr val="accent1"/>
            </a:solidFill>
            <a:ln>
              <a:noFill/>
            </a:ln>
            <a:effectLst/>
          </c:spPr>
          <c:invertIfNegative val="0"/>
          <c:cat>
            <c:strRef>
              <c:f>'Service Analysis'!$A$15:$A$23</c:f>
              <c:strCache>
                <c:ptCount val="8"/>
                <c:pt idx="0">
                  <c:v>Branding</c:v>
                </c:pt>
                <c:pt idx="1">
                  <c:v>Event Coverage</c:v>
                </c:pt>
                <c:pt idx="2">
                  <c:v>Media Marketing</c:v>
                </c:pt>
                <c:pt idx="3">
                  <c:v>Photography</c:v>
                </c:pt>
                <c:pt idx="4">
                  <c:v>Podcast Creation</c:v>
                </c:pt>
                <c:pt idx="5">
                  <c:v>Podcast Production</c:v>
                </c:pt>
                <c:pt idx="6">
                  <c:v>Strategy &amp; Growth Consulting</c:v>
                </c:pt>
                <c:pt idx="7">
                  <c:v>Videography</c:v>
                </c:pt>
              </c:strCache>
            </c:strRef>
          </c:cat>
          <c:val>
            <c:numRef>
              <c:f>'Service Analysis'!$B$15:$B$23</c:f>
              <c:numCache>
                <c:formatCode>\₦#,##0</c:formatCode>
                <c:ptCount val="8"/>
                <c:pt idx="0">
                  <c:v>22300000</c:v>
                </c:pt>
                <c:pt idx="1">
                  <c:v>37000000</c:v>
                </c:pt>
                <c:pt idx="2">
                  <c:v>35800000</c:v>
                </c:pt>
                <c:pt idx="3">
                  <c:v>9150000</c:v>
                </c:pt>
                <c:pt idx="4">
                  <c:v>27150000</c:v>
                </c:pt>
                <c:pt idx="5">
                  <c:v>16550000</c:v>
                </c:pt>
                <c:pt idx="6">
                  <c:v>27400000</c:v>
                </c:pt>
                <c:pt idx="7">
                  <c:v>23050000</c:v>
                </c:pt>
              </c:numCache>
            </c:numRef>
          </c:val>
          <c:extLst>
            <c:ext xmlns:c16="http://schemas.microsoft.com/office/drawing/2014/chart" uri="{C3380CC4-5D6E-409C-BE32-E72D297353CC}">
              <c16:uniqueId val="{00000000-AD37-2A47-871B-D14B1B965C3E}"/>
            </c:ext>
          </c:extLst>
        </c:ser>
        <c:dLbls>
          <c:showLegendKey val="0"/>
          <c:showVal val="0"/>
          <c:showCatName val="0"/>
          <c:showSerName val="0"/>
          <c:showPercent val="0"/>
          <c:showBubbleSize val="0"/>
        </c:dLbls>
        <c:gapWidth val="182"/>
        <c:overlap val="100"/>
        <c:axId val="1791519983"/>
        <c:axId val="1819187327"/>
      </c:barChart>
      <c:catAx>
        <c:axId val="1791519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19187327"/>
        <c:crosses val="autoZero"/>
        <c:auto val="1"/>
        <c:lblAlgn val="ctr"/>
        <c:lblOffset val="100"/>
        <c:noMultiLvlLbl val="0"/>
      </c:catAx>
      <c:valAx>
        <c:axId val="18191873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NG"/>
          </a:p>
        </c:txPr>
        <c:crossAx val="179151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[Creative-Agency-Projects-Dataset.xlsx]Service Analysis!PivotTable10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'Service Analysis'!$B$65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A1-8B4A-946B-07912442C4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A1-8B4A-946B-07912442C4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A1-8B4A-946B-07912442C4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A1-8B4A-946B-07912442C4A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1A1-8B4A-946B-07912442C4A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1A1-8B4A-946B-07912442C4A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1A1-8B4A-946B-07912442C4A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1A1-8B4A-946B-07912442C4A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1A1-8B4A-946B-07912442C4A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1A1-8B4A-946B-07912442C4A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1A1-8B4A-946B-07912442C4A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1A1-8B4A-946B-07912442C4A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1A1-8B4A-946B-07912442C4A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1A1-8B4A-946B-07912442C4A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1A1-8B4A-946B-07912442C4A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1A1-8B4A-946B-07912442C4A1}"/>
              </c:ext>
            </c:extLst>
          </c:dPt>
          <c:cat>
            <c:strRef>
              <c:f>'Service Analysis'!$A$66:$A$82</c:f>
              <c:strCache>
                <c:ptCount val="16"/>
                <c:pt idx="0">
                  <c:v>Transportation</c:v>
                </c:pt>
                <c:pt idx="1">
                  <c:v>Technology</c:v>
                </c:pt>
                <c:pt idx="2">
                  <c:v>Retail</c:v>
                </c:pt>
                <c:pt idx="3">
                  <c:v>Real Estate</c:v>
                </c:pt>
                <c:pt idx="4">
                  <c:v>Professional Services</c:v>
                </c:pt>
                <c:pt idx="5">
                  <c:v>NGO</c:v>
                </c:pt>
                <c:pt idx="6">
                  <c:v>Media</c:v>
                </c:pt>
                <c:pt idx="7">
                  <c:v>Manufacturing</c:v>
                </c:pt>
                <c:pt idx="8">
                  <c:v>Logistics</c:v>
                </c:pt>
                <c:pt idx="9">
                  <c:v>Healthcare</c:v>
                </c:pt>
                <c:pt idx="10">
                  <c:v>FMCG</c:v>
                </c:pt>
                <c:pt idx="11">
                  <c:v>Fintech</c:v>
                </c:pt>
                <c:pt idx="12">
                  <c:v>Energy</c:v>
                </c:pt>
                <c:pt idx="13">
                  <c:v>Education</c:v>
                </c:pt>
                <c:pt idx="14">
                  <c:v>Consulting</c:v>
                </c:pt>
                <c:pt idx="15">
                  <c:v>Construction</c:v>
                </c:pt>
              </c:strCache>
            </c:strRef>
          </c:cat>
          <c:val>
            <c:numRef>
              <c:f>'Service Analysis'!$B$66:$B$82</c:f>
              <c:numCache>
                <c:formatCode>\₦#,##0</c:formatCode>
                <c:ptCount val="16"/>
                <c:pt idx="0">
                  <c:v>4450000</c:v>
                </c:pt>
                <c:pt idx="1">
                  <c:v>10450000</c:v>
                </c:pt>
                <c:pt idx="2">
                  <c:v>19650000</c:v>
                </c:pt>
                <c:pt idx="3">
                  <c:v>4300000</c:v>
                </c:pt>
                <c:pt idx="4">
                  <c:v>15200000</c:v>
                </c:pt>
                <c:pt idx="5">
                  <c:v>10950000</c:v>
                </c:pt>
                <c:pt idx="6">
                  <c:v>16650000</c:v>
                </c:pt>
                <c:pt idx="7">
                  <c:v>15100000</c:v>
                </c:pt>
                <c:pt idx="8">
                  <c:v>15350000</c:v>
                </c:pt>
                <c:pt idx="9">
                  <c:v>12400000</c:v>
                </c:pt>
                <c:pt idx="10">
                  <c:v>2550000</c:v>
                </c:pt>
                <c:pt idx="11">
                  <c:v>10950000</c:v>
                </c:pt>
                <c:pt idx="12">
                  <c:v>11700000</c:v>
                </c:pt>
                <c:pt idx="13">
                  <c:v>19700000</c:v>
                </c:pt>
                <c:pt idx="14">
                  <c:v>11000000</c:v>
                </c:pt>
                <c:pt idx="15">
                  <c:v>18000000</c:v>
                </c:pt>
              </c:numCache>
            </c:numRef>
          </c:val>
          <c:extLst>
            <c:ext xmlns:c16="http://schemas.microsoft.com/office/drawing/2014/chart" uri="{C3380CC4-5D6E-409C-BE32-E72D297353CC}">
              <c16:uniqueId val="{00000000-1078-514B-9689-26DFD554793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[Creative-Agency-Projects-Dataset.xlsx]Service Analysis!PivotTable11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'Service Analysis'!$B$86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'Service Analysis'!$A$87:$A$97</c:f>
              <c:strCache>
                <c:ptCount val="10"/>
                <c:pt idx="0">
                  <c:v>Jan</c:v>
                </c:pt>
                <c:pt idx="1">
                  <c:v>Feb</c:v>
                </c:pt>
                <c:pt idx="2">
                  <c:v>Mar</c:v>
                </c:pt>
                <c:pt idx="3">
                  <c:v>Apr</c:v>
                </c:pt>
                <c:pt idx="4">
                  <c:v>May</c:v>
                </c:pt>
                <c:pt idx="5">
                  <c:v>Jun</c:v>
                </c:pt>
                <c:pt idx="6">
                  <c:v>Jul</c:v>
                </c:pt>
                <c:pt idx="7">
                  <c:v>Aug</c:v>
                </c:pt>
                <c:pt idx="8">
                  <c:v>Sep</c:v>
                </c:pt>
                <c:pt idx="9">
                  <c:v>Oct</c:v>
                </c:pt>
              </c:strCache>
            </c:strRef>
          </c:cat>
          <c:val>
            <c:numRef>
              <c:f>'Service Analysis'!$B$87:$B$97</c:f>
              <c:numCache>
                <c:formatCode>\₦#,##0</c:formatCode>
                <c:ptCount val="10"/>
                <c:pt idx="0">
                  <c:v>15750000</c:v>
                </c:pt>
                <c:pt idx="1">
                  <c:v>17450000</c:v>
                </c:pt>
                <c:pt idx="2">
                  <c:v>27500000</c:v>
                </c:pt>
                <c:pt idx="3">
                  <c:v>16850000</c:v>
                </c:pt>
                <c:pt idx="4">
                  <c:v>21050000</c:v>
                </c:pt>
                <c:pt idx="5">
                  <c:v>25450000</c:v>
                </c:pt>
                <c:pt idx="6">
                  <c:v>21100000</c:v>
                </c:pt>
                <c:pt idx="7">
                  <c:v>21000000</c:v>
                </c:pt>
                <c:pt idx="8">
                  <c:v>17100000</c:v>
                </c:pt>
                <c:pt idx="9">
                  <c:v>15150000</c:v>
                </c:pt>
              </c:numCache>
            </c:numRef>
          </c:val>
          <c:smooth val="0"/>
          <c:extLst>
            <c:ext xmlns:c16="http://schemas.microsoft.com/office/drawing/2014/chart" uri="{C3380CC4-5D6E-409C-BE32-E72D297353CC}">
              <c16:uniqueId val="{00000000-DB73-E94D-A09F-E16D1FBDFA50}"/>
            </c:ext>
          </c:extLst>
        </c:ser>
        <c:dLbls>
          <c:showLegendKey val="0"/>
          <c:showVal val="0"/>
          <c:showCatName val="0"/>
          <c:showSerName val="0"/>
          <c:showPercent val="0"/>
          <c:showBubbleSize val="0"/>
        </c:dLbls>
        <c:marker val="1"/>
        <c:smooth val="0"/>
        <c:axId val="1533085311"/>
        <c:axId val="1489024383"/>
      </c:lineChart>
      <c:catAx>
        <c:axId val="153308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89024383"/>
        <c:crosses val="autoZero"/>
        <c:auto val="1"/>
        <c:lblAlgn val="ctr"/>
        <c:lblOffset val="100"/>
        <c:noMultiLvlLbl val="0"/>
      </c:catAx>
      <c:valAx>
        <c:axId val="14890243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3308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[Creative-Agency-Projects-Dataset.xlsx]Service Analysis!PivotTable12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a:t>
            </a:r>
            <a:r>
              <a:rPr lang="en-US" baseline="0"/>
              <a:t> Count by Service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'Service Analysis'!$B$103</c:f>
              <c:strCache>
                <c:ptCount val="1"/>
                <c:pt idx="0">
                  <c:v>Total</c:v>
                </c:pt>
              </c:strCache>
            </c:strRef>
          </c:tx>
          <c:spPr>
            <a:solidFill>
              <a:schemeClr val="accent1"/>
            </a:solidFill>
            <a:ln>
              <a:noFill/>
            </a:ln>
            <a:effectLst/>
            <a:sp3d/>
          </c:spPr>
          <c:invertIfNegative val="0"/>
          <c:cat>
            <c:strRef>
              <c:f>'Service Analysis'!$A$104:$A$112</c:f>
              <c:strCache>
                <c:ptCount val="8"/>
                <c:pt idx="0">
                  <c:v>Branding</c:v>
                </c:pt>
                <c:pt idx="1">
                  <c:v>Event Coverage</c:v>
                </c:pt>
                <c:pt idx="2">
                  <c:v>Media Marketing</c:v>
                </c:pt>
                <c:pt idx="3">
                  <c:v>Photography</c:v>
                </c:pt>
                <c:pt idx="4">
                  <c:v>Podcast Creation</c:v>
                </c:pt>
                <c:pt idx="5">
                  <c:v>Podcast Production</c:v>
                </c:pt>
                <c:pt idx="6">
                  <c:v>Strategy &amp; Growth Consulting</c:v>
                </c:pt>
                <c:pt idx="7">
                  <c:v>Videography</c:v>
                </c:pt>
              </c:strCache>
            </c:strRef>
          </c:cat>
          <c:val>
            <c:numRef>
              <c:f>'Service Analysis'!$B$104:$B$112</c:f>
              <c:numCache>
                <c:formatCode>General</c:formatCode>
                <c:ptCount val="8"/>
                <c:pt idx="0">
                  <c:v>12</c:v>
                </c:pt>
                <c:pt idx="1">
                  <c:v>12</c:v>
                </c:pt>
                <c:pt idx="2">
                  <c:v>16</c:v>
                </c:pt>
                <c:pt idx="3">
                  <c:v>12</c:v>
                </c:pt>
                <c:pt idx="4">
                  <c:v>11</c:v>
                </c:pt>
                <c:pt idx="5">
                  <c:v>12</c:v>
                </c:pt>
                <c:pt idx="6">
                  <c:v>12</c:v>
                </c:pt>
                <c:pt idx="7">
                  <c:v>13</c:v>
                </c:pt>
              </c:numCache>
            </c:numRef>
          </c:val>
          <c:extLst>
            <c:ext xmlns:c16="http://schemas.microsoft.com/office/drawing/2014/chart" uri="{C3380CC4-5D6E-409C-BE32-E72D297353CC}">
              <c16:uniqueId val="{00000000-62C6-CB48-8E4B-E4BD9612EF61}"/>
            </c:ext>
          </c:extLst>
        </c:ser>
        <c:dLbls>
          <c:showLegendKey val="0"/>
          <c:showVal val="0"/>
          <c:showCatName val="0"/>
          <c:showSerName val="0"/>
          <c:showPercent val="0"/>
          <c:showBubbleSize val="0"/>
        </c:dLbls>
        <c:gapWidth val="150"/>
        <c:shape val="box"/>
        <c:axId val="1506698015"/>
        <c:axId val="1511597295"/>
        <c:axId val="0"/>
      </c:bar3DChart>
      <c:catAx>
        <c:axId val="1506698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11597295"/>
        <c:crosses val="autoZero"/>
        <c:auto val="1"/>
        <c:lblAlgn val="ctr"/>
        <c:lblOffset val="100"/>
        <c:noMultiLvlLbl val="0"/>
      </c:catAx>
      <c:valAx>
        <c:axId val="1511597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0669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manualLayout>
          <c:layoutTarget val="inner"/>
          <c:xMode val="edge"/>
          <c:yMode val="edge"/>
          <c:x val="0.17801251594433384"/>
          <c:y val="0.16768924302788846"/>
          <c:w val="0.72299171841282717"/>
          <c:h val="0.75980769834049633"/>
        </c:manualLayout>
      </c:layout>
      <c:scatterChart>
        <c:scatterStyle val="lineMarker"/>
        <c:varyColors val="0"/>
        <c:ser>
          <c:idx val="0"/>
          <c:order val="0"/>
          <c:tx>
            <c:v>Service Performance</c:v>
          </c:tx>
          <c:spPr>
            <a:ln w="25400" cap="rnd">
              <a:noFill/>
              <a:round/>
            </a:ln>
            <a:effectLst/>
          </c:spPr>
          <c:marker>
            <c:symbol val="circle"/>
            <c:size val="5"/>
            <c:spPr>
              <a:solidFill>
                <a:schemeClr val="accent1"/>
              </a:solidFill>
              <a:ln w="9525">
                <a:solidFill>
                  <a:schemeClr val="accent1"/>
                </a:solidFill>
              </a:ln>
              <a:effectLst/>
            </c:spPr>
          </c:marker>
          <c:dLbls>
            <c:dLbl>
              <c:idx val="0"/>
              <c:layout>
                <c:manualLayout>
                  <c:x val="0"/>
                  <c:y val="2.2321428571428572E-2"/>
                </c:manualLayout>
              </c:layout>
              <c:tx>
                <c:rich>
                  <a:bodyPr/>
                  <a:lstStyle/>
                  <a:p>
                    <a:fld id="{580F4CC4-1E47-424D-A747-224ACF702C98}"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115-2943-B0F2-780E4F0F299B}"/>
                </c:ext>
              </c:extLst>
            </c:dLbl>
            <c:dLbl>
              <c:idx val="1"/>
              <c:layout>
                <c:manualLayout>
                  <c:x val="-1.0261076246723912E-16"/>
                  <c:y val="2.6785714285714246E-2"/>
                </c:manualLayout>
              </c:layout>
              <c:tx>
                <c:rich>
                  <a:bodyPr/>
                  <a:lstStyle/>
                  <a:p>
                    <a:fld id="{C8A51D08-7C9B-D446-86F0-C957289917E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2115-2943-B0F2-780E4F0F299B}"/>
                </c:ext>
              </c:extLst>
            </c:dLbl>
            <c:dLbl>
              <c:idx val="2"/>
              <c:layout>
                <c:manualLayout>
                  <c:x val="-0.18190299843570032"/>
                  <c:y val="1.7857142857142856E-2"/>
                </c:manualLayout>
              </c:layout>
              <c:tx>
                <c:rich>
                  <a:bodyPr/>
                  <a:lstStyle/>
                  <a:p>
                    <a:fld id="{18BE00E7-C300-014E-A42C-96F8C9D4567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115-2943-B0F2-780E4F0F299B}"/>
                </c:ext>
              </c:extLst>
            </c:dLbl>
            <c:dLbl>
              <c:idx val="3"/>
              <c:tx>
                <c:rich>
                  <a:bodyPr/>
                  <a:lstStyle/>
                  <a:p>
                    <a:fld id="{BF4099E6-CF32-4245-AB4F-46595CEFED9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115-2943-B0F2-780E4F0F299B}"/>
                </c:ext>
              </c:extLst>
            </c:dLbl>
            <c:dLbl>
              <c:idx val="4"/>
              <c:layout>
                <c:manualLayout>
                  <c:x val="1.1194030672966173E-2"/>
                  <c:y val="5.3571428571428568E-2"/>
                </c:manualLayout>
              </c:layout>
              <c:tx>
                <c:rich>
                  <a:bodyPr/>
                  <a:lstStyle/>
                  <a:p>
                    <a:fld id="{714B4EF2-CF80-2146-AA2F-5EA8BC8042A7}"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2115-2943-B0F2-780E4F0F299B}"/>
                </c:ext>
              </c:extLst>
            </c:dLbl>
            <c:dLbl>
              <c:idx val="5"/>
              <c:tx>
                <c:rich>
                  <a:bodyPr/>
                  <a:lstStyle/>
                  <a:p>
                    <a:fld id="{B02157B7-23B1-324D-A794-B5F3267EE9B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115-2943-B0F2-780E4F0F299B}"/>
                </c:ext>
              </c:extLst>
            </c:dLbl>
            <c:dLbl>
              <c:idx val="6"/>
              <c:tx>
                <c:rich>
                  <a:bodyPr/>
                  <a:lstStyle/>
                  <a:p>
                    <a:fld id="{0A6D19E7-DCA5-2E40-A943-89A719E0E7E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115-2943-B0F2-780E4F0F299B}"/>
                </c:ext>
              </c:extLst>
            </c:dLbl>
            <c:dLbl>
              <c:idx val="7"/>
              <c:tx>
                <c:rich>
                  <a:bodyPr/>
                  <a:lstStyle/>
                  <a:p>
                    <a:fld id="{35EC7B0C-2505-8F41-B719-0EE7509D559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115-2943-B0F2-780E4F0F299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Insights!$B$14:$B$21</c:f>
              <c:numCache>
                <c:formatCode>"₦"#,##0_);[Red]\("₦"#,##0\)</c:formatCode>
                <c:ptCount val="8"/>
                <c:pt idx="0">
                  <c:v>22300000</c:v>
                </c:pt>
                <c:pt idx="1">
                  <c:v>37000000</c:v>
                </c:pt>
                <c:pt idx="2">
                  <c:v>35800000</c:v>
                </c:pt>
                <c:pt idx="3">
                  <c:v>9150000</c:v>
                </c:pt>
                <c:pt idx="4">
                  <c:v>27150000</c:v>
                </c:pt>
                <c:pt idx="5">
                  <c:v>16550000</c:v>
                </c:pt>
                <c:pt idx="6">
                  <c:v>27400000</c:v>
                </c:pt>
                <c:pt idx="7">
                  <c:v>23050000</c:v>
                </c:pt>
              </c:numCache>
            </c:numRef>
          </c:xVal>
          <c:yVal>
            <c:numRef>
              <c:f>Insights!$C$14:$C$21</c:f>
              <c:numCache>
                <c:formatCode>"₦"#,##0_);[Red]\("₦"#,##0\)</c:formatCode>
                <c:ptCount val="8"/>
                <c:pt idx="0">
                  <c:v>11300000</c:v>
                </c:pt>
                <c:pt idx="1">
                  <c:v>18300000</c:v>
                </c:pt>
                <c:pt idx="2">
                  <c:v>18300000</c:v>
                </c:pt>
                <c:pt idx="3">
                  <c:v>4900000</c:v>
                </c:pt>
                <c:pt idx="4">
                  <c:v>14150000</c:v>
                </c:pt>
                <c:pt idx="5">
                  <c:v>8500000</c:v>
                </c:pt>
                <c:pt idx="6">
                  <c:v>15150000</c:v>
                </c:pt>
                <c:pt idx="7">
                  <c:v>11950000</c:v>
                </c:pt>
              </c:numCache>
            </c:numRef>
          </c:yVal>
          <c:smooth val="0"/>
          <c:extLst>
            <c:ext xmlns:c15="http://schemas.microsoft.com/office/drawing/2012/chart" uri="{02D57815-91ED-43cb-92C2-25804820EDAC}">
              <c15:datalabelsRange>
                <c15:f>Insights!$A$14:$A$21</c15:f>
                <c15:dlblRangeCache>
                  <c:ptCount val="8"/>
                  <c:pt idx="0">
                    <c:v>Branding</c:v>
                  </c:pt>
                  <c:pt idx="1">
                    <c:v>Event Coverage</c:v>
                  </c:pt>
                  <c:pt idx="2">
                    <c:v>Media Marketing</c:v>
                  </c:pt>
                  <c:pt idx="3">
                    <c:v>Photography</c:v>
                  </c:pt>
                  <c:pt idx="4">
                    <c:v>Podcast Creation</c:v>
                  </c:pt>
                  <c:pt idx="5">
                    <c:v>Podcast Production</c:v>
                  </c:pt>
                  <c:pt idx="6">
                    <c:v>Strategy &amp; Growth Consulting</c:v>
                  </c:pt>
                  <c:pt idx="7">
                    <c:v>Videography</c:v>
                  </c:pt>
                </c15:dlblRangeCache>
              </c15:datalabelsRange>
            </c:ext>
            <c:ext xmlns:c16="http://schemas.microsoft.com/office/drawing/2014/chart" uri="{C3380CC4-5D6E-409C-BE32-E72D297353CC}">
              <c16:uniqueId val="{00000000-2115-2943-B0F2-780E4F0F299B}"/>
            </c:ext>
          </c:extLst>
        </c:ser>
        <c:dLbls>
          <c:dLblPos val="r"/>
          <c:showLegendKey val="0"/>
          <c:showVal val="1"/>
          <c:showCatName val="0"/>
          <c:showSerName val="0"/>
          <c:showPercent val="0"/>
          <c:showBubbleSize val="0"/>
        </c:dLbls>
        <c:axId val="685993935"/>
        <c:axId val="1079944895"/>
      </c:scatterChart>
      <c:valAx>
        <c:axId val="68599393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72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9944895"/>
        <c:crosses val="autoZero"/>
        <c:crossBetween val="midCat"/>
      </c:valAx>
      <c:valAx>
        <c:axId val="10799448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859939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805922</xdr:colOff>
      <xdr:row>31</xdr:row>
      <xdr:rowOff>15698</xdr:rowOff>
    </xdr:from>
    <xdr:to>
      <xdr:col>8</xdr:col>
      <xdr:colOff>288636</xdr:colOff>
      <xdr:row>43</xdr:row>
      <xdr:rowOff>0</xdr:rowOff>
    </xdr:to>
    <xdr:graphicFrame macro="">
      <xdr:nvGraphicFramePr>
        <xdr:cNvPr id="5" name="Chart 4">
          <a:extLst>
            <a:ext uri="{FF2B5EF4-FFF2-40B4-BE49-F238E27FC236}">
              <a16:creationId xmlns:a16="http://schemas.microsoft.com/office/drawing/2014/main" id="{B12DC4C2-5338-3109-8F60-A5C898E41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2646</xdr:colOff>
      <xdr:row>13</xdr:row>
      <xdr:rowOff>8642</xdr:rowOff>
    </xdr:from>
    <xdr:to>
      <xdr:col>9</xdr:col>
      <xdr:colOff>379236</xdr:colOff>
      <xdr:row>27</xdr:row>
      <xdr:rowOff>35454</xdr:rowOff>
    </xdr:to>
    <xdr:graphicFrame macro="">
      <xdr:nvGraphicFramePr>
        <xdr:cNvPr id="7" name="Chart 6">
          <a:extLst>
            <a:ext uri="{FF2B5EF4-FFF2-40B4-BE49-F238E27FC236}">
              <a16:creationId xmlns:a16="http://schemas.microsoft.com/office/drawing/2014/main" id="{4796C5F2-12A8-5067-A156-35C69DD02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2647</xdr:colOff>
      <xdr:row>64</xdr:row>
      <xdr:rowOff>8642</xdr:rowOff>
    </xdr:from>
    <xdr:to>
      <xdr:col>8</xdr:col>
      <xdr:colOff>429508</xdr:colOff>
      <xdr:row>78</xdr:row>
      <xdr:rowOff>35453</xdr:rowOff>
    </xdr:to>
    <xdr:graphicFrame macro="">
      <xdr:nvGraphicFramePr>
        <xdr:cNvPr id="8" name="Chart 7">
          <a:extLst>
            <a:ext uri="{FF2B5EF4-FFF2-40B4-BE49-F238E27FC236}">
              <a16:creationId xmlns:a16="http://schemas.microsoft.com/office/drawing/2014/main" id="{834BB705-4A7C-8935-D23C-3CA647C8CA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11466</xdr:colOff>
      <xdr:row>85</xdr:row>
      <xdr:rowOff>8643</xdr:rowOff>
    </xdr:from>
    <xdr:to>
      <xdr:col>8</xdr:col>
      <xdr:colOff>438327</xdr:colOff>
      <xdr:row>99</xdr:row>
      <xdr:rowOff>35454</xdr:rowOff>
    </xdr:to>
    <xdr:graphicFrame macro="">
      <xdr:nvGraphicFramePr>
        <xdr:cNvPr id="9" name="Chart 8">
          <a:extLst>
            <a:ext uri="{FF2B5EF4-FFF2-40B4-BE49-F238E27FC236}">
              <a16:creationId xmlns:a16="http://schemas.microsoft.com/office/drawing/2014/main" id="{501C42C5-E67D-FAF0-64F6-E092CC22D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2647</xdr:colOff>
      <xdr:row>102</xdr:row>
      <xdr:rowOff>8645</xdr:rowOff>
    </xdr:from>
    <xdr:to>
      <xdr:col>8</xdr:col>
      <xdr:colOff>429508</xdr:colOff>
      <xdr:row>116</xdr:row>
      <xdr:rowOff>35456</xdr:rowOff>
    </xdr:to>
    <xdr:graphicFrame macro="">
      <xdr:nvGraphicFramePr>
        <xdr:cNvPr id="10" name="Chart 9">
          <a:extLst>
            <a:ext uri="{FF2B5EF4-FFF2-40B4-BE49-F238E27FC236}">
              <a16:creationId xmlns:a16="http://schemas.microsoft.com/office/drawing/2014/main" id="{FFD317BF-3210-0082-3878-2A7333C63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1617979</xdr:colOff>
      <xdr:row>46</xdr:row>
      <xdr:rowOff>17878</xdr:rowOff>
    </xdr:from>
    <xdr:to>
      <xdr:col>8</xdr:col>
      <xdr:colOff>313366</xdr:colOff>
      <xdr:row>60</xdr:row>
      <xdr:rowOff>78889</xdr:rowOff>
    </xdr:to>
    <xdr:graphicFrame macro="">
      <xdr:nvGraphicFramePr>
        <xdr:cNvPr id="20" name="Chart 19">
          <a:extLst>
            <a:ext uri="{FF2B5EF4-FFF2-40B4-BE49-F238E27FC236}">
              <a16:creationId xmlns:a16="http://schemas.microsoft.com/office/drawing/2014/main" id="{11CBBE3C-A1C9-81DF-FC27-3082D55ED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c" refreshedDate="46087.944670254627" createdVersion="8" refreshedVersion="8" minRefreshableVersion="3" recordCount="100" xr:uid="{0C5C41C4-745F-E94B-BCF9-B62D17CB8AB9}">
  <cacheSource type="worksheet">
    <worksheetSource name="DigiverseProjects"/>
  </cacheSource>
  <cacheFields count="13">
    <cacheField name="Project_ID" numFmtId="0">
      <sharedItems containsSemiMixedTypes="0" containsString="0" containsNumber="1" containsInteger="1" minValue="1001" maxValue="1100"/>
    </cacheField>
    <cacheField name="Client_Name" numFmtId="0">
      <sharedItems/>
    </cacheField>
    <cacheField name="Industry" numFmtId="0">
      <sharedItems count="16">
        <s v="Consulting"/>
        <s v="Media"/>
        <s v="Healthcare"/>
        <s v="Professional Services"/>
        <s v="Energy"/>
        <s v="Education"/>
        <s v="Retail"/>
        <s v="Construction"/>
        <s v="Real Estate"/>
        <s v="Logistics"/>
        <s v="FMCG"/>
        <s v="Fintech"/>
        <s v="Technology"/>
        <s v="Manufacturing"/>
        <s v="NGO"/>
        <s v="Transportation"/>
      </sharedItems>
    </cacheField>
    <cacheField name="Service" numFmtId="0">
      <sharedItems count="8">
        <s v="Photography"/>
        <s v="Strategy &amp; Growth Consulting"/>
        <s v="Media Marketing"/>
        <s v="Podcast Production"/>
        <s v="Branding"/>
        <s v="Podcast Creation"/>
        <s v="Videography"/>
        <s v="Event Coverage"/>
      </sharedItems>
    </cacheField>
    <cacheField name="Project_Date" numFmtId="164">
      <sharedItems containsSemiMixedTypes="0" containsNonDate="0" containsDate="1" containsString="0" minDate="2025-01-03T00:00:00" maxDate="2025-10-27T00:00:00"/>
    </cacheField>
    <cacheField name="Revenue" numFmtId="165">
      <sharedItems containsSemiMixedTypes="0" containsString="0" containsNumber="1" containsInteger="1" minValue="450000" maxValue="4350000"/>
    </cacheField>
    <cacheField name="Cost" numFmtId="165">
      <sharedItems containsSemiMixedTypes="0" containsString="0" containsNumber="1" containsInteger="1" minValue="200000" maxValue="2350000"/>
    </cacheField>
    <cacheField name="Team_Size" numFmtId="0">
      <sharedItems containsSemiMixedTypes="0" containsString="0" containsNumber="1" containsInteger="1" minValue="2" maxValue="7"/>
    </cacheField>
    <cacheField name="Project_Duration_Days" numFmtId="0">
      <sharedItems containsSemiMixedTypes="0" containsString="0" containsNumber="1" containsInteger="1" minValue="1" maxValue="30"/>
    </cacheField>
    <cacheField name="Profit" numFmtId="165">
      <sharedItems containsSemiMixedTypes="0" containsString="0" containsNumber="1" containsInteger="1" minValue="250000" maxValue="2100000"/>
    </cacheField>
    <cacheField name="Column2" numFmtId="0">
      <sharedItems containsNonDate="0" containsString="0" containsBlank="1"/>
    </cacheField>
    <cacheField name="Column1" numFmtId="0">
      <sharedItems containsNonDate="0" containsString="0" containsBlank="1"/>
    </cacheField>
    <cacheField name="Column4"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c" refreshedDate="46088.033859143521" createdVersion="8" refreshedVersion="8" minRefreshableVersion="3" recordCount="100" xr:uid="{1C2E8B6C-59AF-6546-BCF6-4570A30814B8}">
  <cacheSource type="worksheet">
    <worksheetSource name="DigiverseProjects[[Project_ID]:[Profit]]"/>
  </cacheSource>
  <cacheFields count="12">
    <cacheField name="Project_ID" numFmtId="0">
      <sharedItems containsSemiMixedTypes="0" containsString="0" containsNumber="1" containsInteger="1" minValue="1001" maxValue="1100"/>
    </cacheField>
    <cacheField name="Client_Name" numFmtId="0">
      <sharedItems/>
    </cacheField>
    <cacheField name="Industry" numFmtId="0">
      <sharedItems/>
    </cacheField>
    <cacheField name="Service" numFmtId="0">
      <sharedItems count="8">
        <s v="Photography"/>
        <s v="Strategy &amp; Growth Consulting"/>
        <s v="Media Marketing"/>
        <s v="Podcast Production"/>
        <s v="Branding"/>
        <s v="Podcast Creation"/>
        <s v="Videography"/>
        <s v="Event Coverage"/>
      </sharedItems>
    </cacheField>
    <cacheField name="Project_Date" numFmtId="164">
      <sharedItems containsSemiMixedTypes="0" containsNonDate="0" containsDate="1" containsString="0" minDate="2025-01-03T00:00:00" maxDate="2025-10-27T00:00:00" count="100">
        <d v="2025-01-03T00:00:00"/>
        <d v="2025-01-05T00:00:00"/>
        <d v="2025-01-08T00:00:00"/>
        <d v="2025-01-11T00:00:00"/>
        <d v="2025-01-15T00:00:00"/>
        <d v="2025-01-18T00:00:00"/>
        <d v="2025-01-22T00:00:00"/>
        <d v="2025-01-25T00:00:00"/>
        <d v="2025-01-29T00:00:00"/>
        <d v="2025-02-02T00:00:00"/>
        <d v="2025-02-04T00:00:00"/>
        <d v="2025-02-07T00:00:00"/>
        <d v="2025-02-11T00:00:00"/>
        <d v="2025-02-15T00:00:00"/>
        <d v="2025-02-19T00:00:00"/>
        <d v="2025-02-22T00:00:00"/>
        <d v="2025-02-24T00:00:00"/>
        <d v="2025-02-26T00:00:00"/>
        <d v="2025-02-28T00:00:00"/>
        <d v="2025-03-04T00:00:00"/>
        <d v="2025-03-06T00:00:00"/>
        <d v="2025-03-09T00:00:00"/>
        <d v="2025-03-11T00:00:00"/>
        <d v="2025-03-13T00:00:00"/>
        <d v="2025-03-16T00:00:00"/>
        <d v="2025-03-18T00:00:00"/>
        <d v="2025-03-20T00:00:00"/>
        <d v="2025-03-22T00:00:00"/>
        <d v="2025-03-25T00:00:00"/>
        <d v="2025-03-28T00:00:00"/>
        <d v="2025-03-30T00:00:00"/>
        <d v="2025-04-03T00:00:00"/>
        <d v="2025-04-07T00:00:00"/>
        <d v="2025-04-09T00:00:00"/>
        <d v="2025-04-13T00:00:00"/>
        <d v="2025-04-17T00:00:00"/>
        <d v="2025-04-21T00:00:00"/>
        <d v="2025-04-24T00:00:00"/>
        <d v="2025-04-27T00:00:00"/>
        <d v="2025-04-29T00:00:00"/>
        <d v="2025-05-02T00:00:00"/>
        <d v="2025-05-06T00:00:00"/>
        <d v="2025-05-10T00:00:00"/>
        <d v="2025-05-13T00:00:00"/>
        <d v="2025-05-17T00:00:00"/>
        <d v="2025-05-19T00:00:00"/>
        <d v="2025-05-22T00:00:00"/>
        <d v="2025-05-25T00:00:00"/>
        <d v="2025-05-28T00:00:00"/>
        <d v="2025-05-30T00:00:00"/>
        <d v="2025-06-01T00:00:00"/>
        <d v="2025-06-03T00:00:00"/>
        <d v="2025-06-05T00:00:00"/>
        <d v="2025-06-07T00:00:00"/>
        <d v="2025-06-09T00:00:00"/>
        <d v="2025-06-13T00:00:00"/>
        <d v="2025-06-17T00:00:00"/>
        <d v="2025-06-20T00:00:00"/>
        <d v="2025-06-22T00:00:00"/>
        <d v="2025-06-26T00:00:00"/>
        <d v="2025-06-29T00:00:00"/>
        <d v="2025-07-02T00:00:00"/>
        <d v="2025-07-04T00:00:00"/>
        <d v="2025-07-08T00:00:00"/>
        <d v="2025-07-10T00:00:00"/>
        <d v="2025-07-13T00:00:00"/>
        <d v="2025-07-17T00:00:00"/>
        <d v="2025-07-21T00:00:00"/>
        <d v="2025-07-23T00:00:00"/>
        <d v="2025-07-27T00:00:00"/>
        <d v="2025-07-30T00:00:00"/>
        <d v="2025-08-02T00:00:00"/>
        <d v="2025-08-04T00:00:00"/>
        <d v="2025-08-08T00:00:00"/>
        <d v="2025-08-11T00:00:00"/>
        <d v="2025-08-14T00:00:00"/>
        <d v="2025-08-17T00:00:00"/>
        <d v="2025-08-19T00:00:00"/>
        <d v="2025-08-22T00:00:00"/>
        <d v="2025-08-25T00:00:00"/>
        <d v="2025-08-28T00:00:00"/>
        <d v="2025-09-01T00:00:00"/>
        <d v="2025-09-03T00:00:00"/>
        <d v="2025-09-06T00:00:00"/>
        <d v="2025-09-10T00:00:00"/>
        <d v="2025-09-12T00:00:00"/>
        <d v="2025-09-15T00:00:00"/>
        <d v="2025-09-18T00:00:00"/>
        <d v="2025-09-22T00:00:00"/>
        <d v="2025-09-24T00:00:00"/>
        <d v="2025-09-27T00:00:00"/>
        <d v="2025-09-30T00:00:00"/>
        <d v="2025-10-03T00:00:00"/>
        <d v="2025-10-06T00:00:00"/>
        <d v="2025-10-10T00:00:00"/>
        <d v="2025-10-13T00:00:00"/>
        <d v="2025-10-16T00:00:00"/>
        <d v="2025-10-19T00:00:00"/>
        <d v="2025-10-23T00:00:00"/>
        <d v="2025-10-26T00:00:00"/>
      </sharedItems>
      <fieldGroup par="11"/>
    </cacheField>
    <cacheField name="Revenue" numFmtId="165">
      <sharedItems containsSemiMixedTypes="0" containsString="0" containsNumber="1" containsInteger="1" minValue="450000" maxValue="4350000"/>
    </cacheField>
    <cacheField name="Cost" numFmtId="165">
      <sharedItems containsSemiMixedTypes="0" containsString="0" containsNumber="1" containsInteger="1" minValue="200000" maxValue="2350000"/>
    </cacheField>
    <cacheField name="Team_Size" numFmtId="0">
      <sharedItems containsSemiMixedTypes="0" containsString="0" containsNumber="1" containsInteger="1" minValue="2" maxValue="7"/>
    </cacheField>
    <cacheField name="Project_Duration_Days" numFmtId="0">
      <sharedItems containsSemiMixedTypes="0" containsString="0" containsNumber="1" containsInteger="1" minValue="1" maxValue="30"/>
    </cacheField>
    <cacheField name="Profit" numFmtId="165">
      <sharedItems containsSemiMixedTypes="0" containsString="0" containsNumber="1" containsInteger="1" minValue="250000" maxValue="2100000"/>
    </cacheField>
    <cacheField name="Days (Project_Date)" numFmtId="0" databaseField="0">
      <fieldGroup base="4">
        <rangePr groupBy="days" startDate="2025-01-03T00:00:00" endDate="2025-10-27T00:00:00"/>
        <groupItems count="368">
          <s v="&lt;0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10/2025"/>
        </groupItems>
      </fieldGroup>
    </cacheField>
    <cacheField name="Months (Project_Date)" numFmtId="0" databaseField="0">
      <fieldGroup base="4">
        <rangePr groupBy="months" startDate="2025-01-03T00:00:00" endDate="2025-10-27T00:00:00"/>
        <groupItems count="14">
          <s v="&lt;03/01/2025"/>
          <s v="Jan"/>
          <s v="Feb"/>
          <s v="Mar"/>
          <s v="Apr"/>
          <s v="May"/>
          <s v="Jun"/>
          <s v="Jul"/>
          <s v="Aug"/>
          <s v="Sep"/>
          <s v="Oct"/>
          <s v="Nov"/>
          <s v="Dec"/>
          <s v="&gt;27/10/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1"/>
    <s v="PrimeEdge Consulting"/>
    <x v="0"/>
    <x v="0"/>
    <d v="2025-01-03T00:00:00"/>
    <n v="950000"/>
    <n v="400000"/>
    <n v="3"/>
    <n v="2"/>
    <n v="550000"/>
    <m/>
    <m/>
    <m/>
  </r>
  <r>
    <n v="1002"/>
    <s v="Pulse Media House"/>
    <x v="1"/>
    <x v="0"/>
    <d v="2025-01-05T00:00:00"/>
    <n v="850000"/>
    <n v="350000"/>
    <n v="3"/>
    <n v="3"/>
    <n v="500000"/>
    <m/>
    <m/>
    <m/>
  </r>
  <r>
    <n v="1003"/>
    <s v="WellSpring Clinics"/>
    <x v="2"/>
    <x v="1"/>
    <d v="2025-01-08T00:00:00"/>
    <n v="3150000"/>
    <n v="1350000"/>
    <n v="2"/>
    <n v="19"/>
    <n v="1800000"/>
    <m/>
    <m/>
    <m/>
  </r>
  <r>
    <n v="1004"/>
    <s v="Sterling Support Services"/>
    <x v="3"/>
    <x v="2"/>
    <d v="2025-01-11T00:00:00"/>
    <n v="1150000"/>
    <n v="600000"/>
    <n v="3"/>
    <n v="23"/>
    <n v="550000"/>
    <m/>
    <m/>
    <m/>
  </r>
  <r>
    <n v="1005"/>
    <s v="GreenGrid Energy"/>
    <x v="4"/>
    <x v="3"/>
    <d v="2025-01-15T00:00:00"/>
    <n v="1450000"/>
    <n v="700000"/>
    <n v="3"/>
    <n v="5"/>
    <n v="750000"/>
    <m/>
    <m/>
    <m/>
  </r>
  <r>
    <n v="1006"/>
    <s v="Beacon Learning Centre"/>
    <x v="5"/>
    <x v="0"/>
    <d v="2025-01-18T00:00:00"/>
    <n v="850000"/>
    <n v="450000"/>
    <n v="2"/>
    <n v="3"/>
    <n v="400000"/>
    <m/>
    <m/>
    <m/>
  </r>
  <r>
    <n v="1007"/>
    <s v="Urban Retail Group"/>
    <x v="6"/>
    <x v="2"/>
    <d v="2025-01-22T00:00:00"/>
    <n v="2600000"/>
    <n v="1350000"/>
    <n v="5"/>
    <n v="26"/>
    <n v="1250000"/>
    <m/>
    <m/>
    <m/>
  </r>
  <r>
    <n v="1008"/>
    <s v="Urban Retail Group"/>
    <x v="6"/>
    <x v="3"/>
    <d v="2025-01-25T00:00:00"/>
    <n v="1450000"/>
    <n v="650000"/>
    <n v="2"/>
    <n v="6"/>
    <n v="800000"/>
    <m/>
    <m/>
    <m/>
  </r>
  <r>
    <n v="1009"/>
    <s v="MetroBuild Projects"/>
    <x v="7"/>
    <x v="2"/>
    <d v="2025-01-29T00:00:00"/>
    <n v="3300000"/>
    <n v="1450000"/>
    <n v="3"/>
    <n v="25"/>
    <n v="1850000"/>
    <m/>
    <m/>
    <m/>
  </r>
  <r>
    <n v="1010"/>
    <s v="Sterling Support Services"/>
    <x v="3"/>
    <x v="4"/>
    <d v="2025-02-02T00:00:00"/>
    <n v="1600000"/>
    <n v="700000"/>
    <n v="2"/>
    <n v="18"/>
    <n v="900000"/>
    <m/>
    <m/>
    <m/>
  </r>
  <r>
    <n v="1011"/>
    <s v="Sterling Support Services"/>
    <x v="3"/>
    <x v="3"/>
    <d v="2025-02-04T00:00:00"/>
    <n v="1750000"/>
    <n v="800000"/>
    <n v="2"/>
    <n v="4"/>
    <n v="950000"/>
    <m/>
    <m/>
    <m/>
  </r>
  <r>
    <n v="1012"/>
    <s v="Skyline Properties"/>
    <x v="8"/>
    <x v="2"/>
    <d v="2025-02-07T00:00:00"/>
    <n v="1650000"/>
    <n v="700000"/>
    <n v="5"/>
    <n v="22"/>
    <n v="950000"/>
    <m/>
    <m/>
    <m/>
  </r>
  <r>
    <n v="1013"/>
    <s v="BrightCare Health"/>
    <x v="2"/>
    <x v="5"/>
    <d v="2025-02-11T00:00:00"/>
    <n v="3150000"/>
    <n v="1650000"/>
    <n v="3"/>
    <n v="9"/>
    <n v="1500000"/>
    <m/>
    <m/>
    <m/>
  </r>
  <r>
    <n v="1014"/>
    <s v="Harbor Freight Link"/>
    <x v="9"/>
    <x v="5"/>
    <d v="2025-02-15T00:00:00"/>
    <n v="2100000"/>
    <n v="950000"/>
    <n v="4"/>
    <n v="10"/>
    <n v="1150000"/>
    <m/>
    <m/>
    <m/>
  </r>
  <r>
    <n v="1015"/>
    <s v="PeakMart Stores"/>
    <x v="6"/>
    <x v="3"/>
    <d v="2025-02-19T00:00:00"/>
    <n v="1900000"/>
    <n v="850000"/>
    <n v="3"/>
    <n v="5"/>
    <n v="1050000"/>
    <m/>
    <m/>
    <m/>
  </r>
  <r>
    <n v="1016"/>
    <s v="Skyline Properties"/>
    <x v="8"/>
    <x v="0"/>
    <d v="2025-02-22T00:00:00"/>
    <n v="1150000"/>
    <n v="500000"/>
    <n v="2"/>
    <n v="1"/>
    <n v="650000"/>
    <m/>
    <m/>
    <m/>
  </r>
  <r>
    <n v="1017"/>
    <s v="BlueWave Foods"/>
    <x v="10"/>
    <x v="0"/>
    <d v="2025-02-24T00:00:00"/>
    <n v="800000"/>
    <n v="400000"/>
    <n v="2"/>
    <n v="1"/>
    <n v="400000"/>
    <m/>
    <m/>
    <m/>
  </r>
  <r>
    <n v="1018"/>
    <s v="NovaBank Digital"/>
    <x v="11"/>
    <x v="1"/>
    <d v="2025-02-26T00:00:00"/>
    <n v="1500000"/>
    <n v="750000"/>
    <n v="3"/>
    <n v="17"/>
    <n v="750000"/>
    <m/>
    <m/>
    <m/>
  </r>
  <r>
    <n v="1019"/>
    <s v="Sterling Support Services"/>
    <x v="3"/>
    <x v="4"/>
    <d v="2025-02-28T00:00:00"/>
    <n v="1850000"/>
    <n v="950000"/>
    <n v="2"/>
    <n v="18"/>
    <n v="900000"/>
    <m/>
    <m/>
    <m/>
  </r>
  <r>
    <n v="1020"/>
    <s v="TechNova Africa"/>
    <x v="12"/>
    <x v="6"/>
    <d v="2025-03-04T00:00:00"/>
    <n v="2500000"/>
    <n v="1100000"/>
    <n v="4"/>
    <n v="6"/>
    <n v="1400000"/>
    <m/>
    <m/>
    <m/>
  </r>
  <r>
    <n v="1021"/>
    <s v="PrimeEdge Consulting"/>
    <x v="0"/>
    <x v="6"/>
    <d v="2025-03-06T00:00:00"/>
    <n v="1300000"/>
    <n v="650000"/>
    <n v="4"/>
    <n v="6"/>
    <n v="650000"/>
    <m/>
    <m/>
    <m/>
  </r>
  <r>
    <n v="1022"/>
    <s v="Apex Manufacturing"/>
    <x v="13"/>
    <x v="7"/>
    <d v="2025-03-09T00:00:00"/>
    <n v="4350000"/>
    <n v="2350000"/>
    <n v="7"/>
    <n v="3"/>
    <n v="2000000"/>
    <m/>
    <m/>
    <m/>
  </r>
  <r>
    <n v="1023"/>
    <s v="Urban Retail Group"/>
    <x v="6"/>
    <x v="6"/>
    <d v="2025-03-11T00:00:00"/>
    <n v="2250000"/>
    <n v="1150000"/>
    <n v="3"/>
    <n v="4"/>
    <n v="1100000"/>
    <m/>
    <m/>
    <m/>
  </r>
  <r>
    <n v="1024"/>
    <s v="PrimeEdge Consulting"/>
    <x v="0"/>
    <x v="1"/>
    <d v="2025-03-13T00:00:00"/>
    <n v="3000000"/>
    <n v="1300000"/>
    <n v="3"/>
    <n v="20"/>
    <n v="1700000"/>
    <m/>
    <m/>
    <m/>
  </r>
  <r>
    <n v="1025"/>
    <s v="MetroBuild Projects"/>
    <x v="7"/>
    <x v="4"/>
    <d v="2025-03-16T00:00:00"/>
    <n v="1750000"/>
    <n v="900000"/>
    <n v="2"/>
    <n v="17"/>
    <n v="850000"/>
    <m/>
    <m/>
    <m/>
  </r>
  <r>
    <n v="1026"/>
    <s v="PeakMart Stores"/>
    <x v="6"/>
    <x v="0"/>
    <d v="2025-03-18T00:00:00"/>
    <n v="500000"/>
    <n v="250000"/>
    <n v="2"/>
    <n v="1"/>
    <n v="250000"/>
    <m/>
    <m/>
    <m/>
  </r>
  <r>
    <n v="1027"/>
    <s v="ImpactRise Foundation"/>
    <x v="14"/>
    <x v="4"/>
    <d v="2025-03-20T00:00:00"/>
    <n v="2300000"/>
    <n v="1100000"/>
    <n v="2"/>
    <n v="16"/>
    <n v="1200000"/>
    <m/>
    <m/>
    <m/>
  </r>
  <r>
    <n v="1028"/>
    <s v="NovaBank Digital"/>
    <x v="11"/>
    <x v="7"/>
    <d v="2025-03-22T00:00:00"/>
    <n v="2800000"/>
    <n v="1250000"/>
    <n v="6"/>
    <n v="2"/>
    <n v="1550000"/>
    <m/>
    <m/>
    <m/>
  </r>
  <r>
    <n v="1029"/>
    <s v="Pulse Media House"/>
    <x v="1"/>
    <x v="4"/>
    <d v="2025-03-25T00:00:00"/>
    <n v="2350000"/>
    <n v="1200000"/>
    <n v="3"/>
    <n v="12"/>
    <n v="1150000"/>
    <m/>
    <m/>
    <m/>
  </r>
  <r>
    <n v="1030"/>
    <s v="PrimeEdge Consulting"/>
    <x v="0"/>
    <x v="6"/>
    <d v="2025-03-28T00:00:00"/>
    <n v="1650000"/>
    <n v="900000"/>
    <n v="3"/>
    <n v="5"/>
    <n v="750000"/>
    <m/>
    <m/>
    <m/>
  </r>
  <r>
    <n v="1031"/>
    <s v="NovaBank Digital"/>
    <x v="11"/>
    <x v="2"/>
    <d v="2025-03-30T00:00:00"/>
    <n v="2750000"/>
    <n v="1350000"/>
    <n v="5"/>
    <n v="23"/>
    <n v="1400000"/>
    <m/>
    <m/>
    <m/>
  </r>
  <r>
    <n v="1032"/>
    <s v="NovaBank Digital"/>
    <x v="11"/>
    <x v="0"/>
    <d v="2025-04-03T00:00:00"/>
    <n v="550000"/>
    <n v="300000"/>
    <n v="2"/>
    <n v="3"/>
    <n v="250000"/>
    <m/>
    <m/>
    <m/>
  </r>
  <r>
    <n v="1033"/>
    <s v="BrightCare Health"/>
    <x v="2"/>
    <x v="5"/>
    <d v="2025-04-07T00:00:00"/>
    <n v="2350000"/>
    <n v="1100000"/>
    <n v="3"/>
    <n v="7"/>
    <n v="1250000"/>
    <m/>
    <m/>
    <m/>
  </r>
  <r>
    <n v="1034"/>
    <s v="Beacon Learning Centre"/>
    <x v="5"/>
    <x v="5"/>
    <d v="2025-04-09T00:00:00"/>
    <n v="2900000"/>
    <n v="1450000"/>
    <n v="4"/>
    <n v="11"/>
    <n v="1450000"/>
    <m/>
    <m/>
    <m/>
  </r>
  <r>
    <n v="1035"/>
    <s v="PrimeEdge Consulting"/>
    <x v="0"/>
    <x v="3"/>
    <d v="2025-04-13T00:00:00"/>
    <n v="1900000"/>
    <n v="850000"/>
    <n v="3"/>
    <n v="5"/>
    <n v="1050000"/>
    <m/>
    <m/>
    <m/>
  </r>
  <r>
    <n v="1036"/>
    <s v="TechNova Africa"/>
    <x v="12"/>
    <x v="0"/>
    <d v="2025-04-17T00:00:00"/>
    <n v="900000"/>
    <n v="400000"/>
    <n v="2"/>
    <n v="1"/>
    <n v="500000"/>
    <m/>
    <m/>
    <m/>
  </r>
  <r>
    <n v="1037"/>
    <s v="Pulse Media House"/>
    <x v="1"/>
    <x v="1"/>
    <d v="2025-04-21T00:00:00"/>
    <n v="3100000"/>
    <n v="1550000"/>
    <n v="2"/>
    <n v="21"/>
    <n v="1550000"/>
    <m/>
    <m/>
    <m/>
  </r>
  <r>
    <n v="1038"/>
    <s v="Sterling Support Services"/>
    <x v="3"/>
    <x v="0"/>
    <d v="2025-04-24T00:00:00"/>
    <n v="650000"/>
    <n v="350000"/>
    <n v="2"/>
    <n v="1"/>
    <n v="300000"/>
    <m/>
    <m/>
    <m/>
  </r>
  <r>
    <n v="1039"/>
    <s v="Skyline Properties"/>
    <x v="8"/>
    <x v="4"/>
    <d v="2025-04-27T00:00:00"/>
    <n v="1500000"/>
    <n v="700000"/>
    <n v="3"/>
    <n v="19"/>
    <n v="800000"/>
    <m/>
    <m/>
    <m/>
  </r>
  <r>
    <n v="1040"/>
    <s v="Sterling Support Services"/>
    <x v="3"/>
    <x v="2"/>
    <d v="2025-04-29T00:00:00"/>
    <n v="3000000"/>
    <n v="1600000"/>
    <n v="4"/>
    <n v="22"/>
    <n v="1400000"/>
    <m/>
    <m/>
    <m/>
  </r>
  <r>
    <n v="1041"/>
    <s v="TechNova Africa"/>
    <x v="12"/>
    <x v="6"/>
    <d v="2025-05-02T00:00:00"/>
    <n v="1350000"/>
    <n v="700000"/>
    <n v="3"/>
    <n v="5"/>
    <n v="650000"/>
    <m/>
    <m/>
    <m/>
  </r>
  <r>
    <n v="1042"/>
    <s v="Lagos Business Hub"/>
    <x v="5"/>
    <x v="7"/>
    <d v="2025-05-06T00:00:00"/>
    <n v="2250000"/>
    <n v="1200000"/>
    <n v="5"/>
    <n v="3"/>
    <n v="1050000"/>
    <m/>
    <m/>
    <m/>
  </r>
  <r>
    <n v="1043"/>
    <s v="MetroBuild Projects"/>
    <x v="7"/>
    <x v="6"/>
    <d v="2025-05-10T00:00:00"/>
    <n v="2550000"/>
    <n v="1150000"/>
    <n v="3"/>
    <n v="3"/>
    <n v="1400000"/>
    <m/>
    <m/>
    <m/>
  </r>
  <r>
    <n v="1044"/>
    <s v="Apex Manufacturing"/>
    <x v="13"/>
    <x v="6"/>
    <d v="2025-05-13T00:00:00"/>
    <n v="1100000"/>
    <n v="450000"/>
    <n v="3"/>
    <n v="5"/>
    <n v="650000"/>
    <m/>
    <m/>
    <m/>
  </r>
  <r>
    <n v="1045"/>
    <s v="GreenGrid Energy"/>
    <x v="4"/>
    <x v="7"/>
    <d v="2025-05-17T00:00:00"/>
    <n v="3000000"/>
    <n v="1550000"/>
    <n v="6"/>
    <n v="3"/>
    <n v="1450000"/>
    <m/>
    <m/>
    <m/>
  </r>
  <r>
    <n v="1046"/>
    <s v="Atlas Logistics"/>
    <x v="9"/>
    <x v="3"/>
    <d v="2025-05-19T00:00:00"/>
    <n v="900000"/>
    <n v="500000"/>
    <n v="2"/>
    <n v="6"/>
    <n v="400000"/>
    <m/>
    <m/>
    <m/>
  </r>
  <r>
    <n v="1047"/>
    <s v="NovaBank Digital"/>
    <x v="11"/>
    <x v="5"/>
    <d v="2025-05-22T00:00:00"/>
    <n v="3350000"/>
    <n v="1450000"/>
    <n v="3"/>
    <n v="7"/>
    <n v="1900000"/>
    <m/>
    <m/>
    <m/>
  </r>
  <r>
    <n v="1048"/>
    <s v="Lagos Business Hub"/>
    <x v="5"/>
    <x v="5"/>
    <d v="2025-05-25T00:00:00"/>
    <n v="1700000"/>
    <n v="900000"/>
    <n v="3"/>
    <n v="10"/>
    <n v="800000"/>
    <m/>
    <m/>
    <m/>
  </r>
  <r>
    <n v="1049"/>
    <s v="Urban Retail Group"/>
    <x v="6"/>
    <x v="2"/>
    <d v="2025-05-28T00:00:00"/>
    <n v="3350000"/>
    <n v="1650000"/>
    <n v="4"/>
    <n v="30"/>
    <n v="1700000"/>
    <m/>
    <m/>
    <m/>
  </r>
  <r>
    <n v="1050"/>
    <s v="TechNova Africa"/>
    <x v="12"/>
    <x v="6"/>
    <d v="2025-05-30T00:00:00"/>
    <n v="1500000"/>
    <n v="800000"/>
    <n v="3"/>
    <n v="6"/>
    <n v="700000"/>
    <m/>
    <m/>
    <m/>
  </r>
  <r>
    <n v="1051"/>
    <s v="Atlas Logistics"/>
    <x v="9"/>
    <x v="1"/>
    <d v="2025-06-01T00:00:00"/>
    <n v="2350000"/>
    <n v="1100000"/>
    <n v="3"/>
    <n v="22"/>
    <n v="1250000"/>
    <m/>
    <m/>
    <m/>
  </r>
  <r>
    <n v="1052"/>
    <s v="MetroBuild Projects"/>
    <x v="7"/>
    <x v="0"/>
    <d v="2025-06-03T00:00:00"/>
    <n v="600000"/>
    <n v="250000"/>
    <n v="2"/>
    <n v="2"/>
    <n v="350000"/>
    <m/>
    <m/>
    <m/>
  </r>
  <r>
    <n v="1053"/>
    <s v="ImpactRise Foundation"/>
    <x v="14"/>
    <x v="2"/>
    <d v="2025-06-05T00:00:00"/>
    <n v="3500000"/>
    <n v="1900000"/>
    <n v="4"/>
    <n v="25"/>
    <n v="1600000"/>
    <m/>
    <m/>
    <m/>
  </r>
  <r>
    <n v="1054"/>
    <s v="ImpactRise Foundation"/>
    <x v="14"/>
    <x v="0"/>
    <d v="2025-06-07T00:00:00"/>
    <n v="450000"/>
    <n v="200000"/>
    <n v="3"/>
    <n v="2"/>
    <n v="250000"/>
    <m/>
    <m/>
    <m/>
  </r>
  <r>
    <n v="1055"/>
    <s v="MetroBuild Projects"/>
    <x v="7"/>
    <x v="7"/>
    <d v="2025-06-09T00:00:00"/>
    <n v="4050000"/>
    <n v="1950000"/>
    <n v="7"/>
    <n v="3"/>
    <n v="2100000"/>
    <m/>
    <m/>
    <m/>
  </r>
  <r>
    <n v="1056"/>
    <s v="Crestline Mobility"/>
    <x v="15"/>
    <x v="6"/>
    <d v="2025-06-13T00:00:00"/>
    <n v="2050000"/>
    <n v="1100000"/>
    <n v="3"/>
    <n v="5"/>
    <n v="950000"/>
    <m/>
    <m/>
    <m/>
  </r>
  <r>
    <n v="1057"/>
    <s v="GreenGrid Energy"/>
    <x v="4"/>
    <x v="5"/>
    <d v="2025-06-17T00:00:00"/>
    <n v="2400000"/>
    <n v="1000000"/>
    <n v="4"/>
    <n v="12"/>
    <n v="1400000"/>
    <m/>
    <m/>
    <m/>
  </r>
  <r>
    <n v="1058"/>
    <s v="BlueWave Foods"/>
    <x v="10"/>
    <x v="3"/>
    <d v="2025-06-20T00:00:00"/>
    <n v="1750000"/>
    <n v="950000"/>
    <n v="2"/>
    <n v="5"/>
    <n v="800000"/>
    <m/>
    <m/>
    <m/>
  </r>
  <r>
    <n v="1059"/>
    <s v="WellSpring Clinics"/>
    <x v="2"/>
    <x v="7"/>
    <d v="2025-06-22T00:00:00"/>
    <n v="2400000"/>
    <n v="1100000"/>
    <n v="6"/>
    <n v="1"/>
    <n v="1300000"/>
    <m/>
    <m/>
    <m/>
  </r>
  <r>
    <n v="1060"/>
    <s v="Sterling Support Services"/>
    <x v="3"/>
    <x v="5"/>
    <d v="2025-06-26T00:00:00"/>
    <n v="2200000"/>
    <n v="1000000"/>
    <n v="3"/>
    <n v="12"/>
    <n v="1200000"/>
    <m/>
    <m/>
    <m/>
  </r>
  <r>
    <n v="1061"/>
    <s v="Beacon Learning Centre"/>
    <x v="5"/>
    <x v="7"/>
    <d v="2025-06-29T00:00:00"/>
    <n v="3700000"/>
    <n v="2050000"/>
    <n v="7"/>
    <n v="2"/>
    <n v="1650000"/>
    <m/>
    <m/>
    <m/>
  </r>
  <r>
    <n v="1062"/>
    <s v="Sterling Support Services"/>
    <x v="3"/>
    <x v="2"/>
    <d v="2025-07-02T00:00:00"/>
    <n v="3000000"/>
    <n v="1400000"/>
    <n v="4"/>
    <n v="25"/>
    <n v="1600000"/>
    <m/>
    <m/>
    <m/>
  </r>
  <r>
    <n v="1063"/>
    <s v="PeakMart Stores"/>
    <x v="6"/>
    <x v="2"/>
    <d v="2025-07-04T00:00:00"/>
    <n v="1500000"/>
    <n v="700000"/>
    <n v="4"/>
    <n v="23"/>
    <n v="800000"/>
    <m/>
    <m/>
    <m/>
  </r>
  <r>
    <n v="1064"/>
    <s v="Beacon Learning Centre"/>
    <x v="5"/>
    <x v="3"/>
    <d v="2025-07-08T00:00:00"/>
    <n v="1250000"/>
    <n v="600000"/>
    <n v="2"/>
    <n v="5"/>
    <n v="650000"/>
    <m/>
    <m/>
    <m/>
  </r>
  <r>
    <n v="1065"/>
    <s v="Lagos Business Hub"/>
    <x v="5"/>
    <x v="4"/>
    <d v="2025-07-10T00:00:00"/>
    <n v="2350000"/>
    <n v="1200000"/>
    <n v="3"/>
    <n v="17"/>
    <n v="1150000"/>
    <m/>
    <m/>
    <m/>
  </r>
  <r>
    <n v="1066"/>
    <s v="Pulse Media House"/>
    <x v="1"/>
    <x v="7"/>
    <d v="2025-07-13T00:00:00"/>
    <n v="3750000"/>
    <n v="1800000"/>
    <n v="6"/>
    <n v="3"/>
    <n v="1950000"/>
    <m/>
    <m/>
    <m/>
  </r>
  <r>
    <n v="1067"/>
    <s v="GreenGrid Energy"/>
    <x v="4"/>
    <x v="4"/>
    <d v="2025-07-17T00:00:00"/>
    <n v="1250000"/>
    <n v="550000"/>
    <n v="3"/>
    <n v="11"/>
    <n v="700000"/>
    <m/>
    <m/>
    <m/>
  </r>
  <r>
    <n v="1068"/>
    <s v="ImpactRise Foundation"/>
    <x v="14"/>
    <x v="0"/>
    <d v="2025-07-21T00:00:00"/>
    <n v="900000"/>
    <n v="400000"/>
    <n v="2"/>
    <n v="1"/>
    <n v="500000"/>
    <m/>
    <m/>
    <m/>
  </r>
  <r>
    <n v="1069"/>
    <s v="Atlas Logistics"/>
    <x v="9"/>
    <x v="1"/>
    <d v="2025-07-23T00:00:00"/>
    <n v="2050000"/>
    <n v="1000000"/>
    <n v="2"/>
    <n v="29"/>
    <n v="1050000"/>
    <m/>
    <m/>
    <m/>
  </r>
  <r>
    <n v="1070"/>
    <s v="Apex Manufacturing"/>
    <x v="13"/>
    <x v="7"/>
    <d v="2025-07-27T00:00:00"/>
    <n v="3400000"/>
    <n v="1600000"/>
    <n v="7"/>
    <n v="2"/>
    <n v="1800000"/>
    <m/>
    <m/>
    <m/>
  </r>
  <r>
    <n v="1071"/>
    <s v="Harbor Freight Link"/>
    <x v="9"/>
    <x v="2"/>
    <d v="2025-07-30T00:00:00"/>
    <n v="1650000"/>
    <n v="700000"/>
    <n v="5"/>
    <n v="21"/>
    <n v="950000"/>
    <m/>
    <m/>
    <m/>
  </r>
  <r>
    <n v="1072"/>
    <s v="Urban Retail Group"/>
    <x v="6"/>
    <x v="1"/>
    <d v="2025-08-02T00:00:00"/>
    <n v="2000000"/>
    <n v="800000"/>
    <n v="3"/>
    <n v="16"/>
    <n v="1200000"/>
    <m/>
    <m/>
    <m/>
  </r>
  <r>
    <n v="1073"/>
    <s v="PeakMart Stores"/>
    <x v="6"/>
    <x v="5"/>
    <d v="2025-08-04T00:00:00"/>
    <n v="1950000"/>
    <n v="950000"/>
    <n v="4"/>
    <n v="12"/>
    <n v="1000000"/>
    <m/>
    <m/>
    <m/>
  </r>
  <r>
    <n v="1074"/>
    <s v="Pulse Media House"/>
    <x v="1"/>
    <x v="1"/>
    <d v="2025-08-08T00:00:00"/>
    <n v="2900000"/>
    <n v="1250000"/>
    <n v="3"/>
    <n v="20"/>
    <n v="1650000"/>
    <m/>
    <m/>
    <m/>
  </r>
  <r>
    <n v="1075"/>
    <s v="Harbor Freight Link"/>
    <x v="9"/>
    <x v="5"/>
    <d v="2025-08-11T00:00:00"/>
    <n v="2400000"/>
    <n v="1200000"/>
    <n v="4"/>
    <n v="14"/>
    <n v="1200000"/>
    <m/>
    <m/>
    <m/>
  </r>
  <r>
    <n v="1076"/>
    <s v="ImpactRise Foundation"/>
    <x v="14"/>
    <x v="1"/>
    <d v="2025-08-14T00:00:00"/>
    <n v="2700000"/>
    <n v="1050000"/>
    <n v="3"/>
    <n v="22"/>
    <n v="1650000"/>
    <m/>
    <m/>
    <m/>
  </r>
  <r>
    <n v="1077"/>
    <s v="MetroBuild Projects"/>
    <x v="7"/>
    <x v="7"/>
    <d v="2025-08-17T00:00:00"/>
    <n v="2600000"/>
    <n v="1450000"/>
    <n v="5"/>
    <n v="1"/>
    <n v="1150000"/>
    <m/>
    <m/>
    <m/>
  </r>
  <r>
    <n v="1078"/>
    <s v="TechNova Africa"/>
    <x v="12"/>
    <x v="3"/>
    <d v="2025-08-19T00:00:00"/>
    <n v="1400000"/>
    <n v="700000"/>
    <n v="2"/>
    <n v="4"/>
    <n v="700000"/>
    <m/>
    <m/>
    <m/>
  </r>
  <r>
    <n v="1079"/>
    <s v="Apex Manufacturing"/>
    <x v="13"/>
    <x v="4"/>
    <d v="2025-08-22T00:00:00"/>
    <n v="2050000"/>
    <n v="1000000"/>
    <n v="3"/>
    <n v="10"/>
    <n v="1050000"/>
    <m/>
    <m/>
    <m/>
  </r>
  <r>
    <n v="1080"/>
    <s v="PrimeEdge Consulting"/>
    <x v="0"/>
    <x v="4"/>
    <d v="2025-08-25T00:00:00"/>
    <n v="2200000"/>
    <n v="1150000"/>
    <n v="2"/>
    <n v="19"/>
    <n v="1050000"/>
    <m/>
    <m/>
    <m/>
  </r>
  <r>
    <n v="1081"/>
    <s v="Crestline Mobility"/>
    <x v="15"/>
    <x v="3"/>
    <d v="2025-08-28T00:00:00"/>
    <n v="800000"/>
    <n v="450000"/>
    <n v="3"/>
    <n v="5"/>
    <n v="350000"/>
    <m/>
    <m/>
    <m/>
  </r>
  <r>
    <n v="1082"/>
    <s v="Apex Manufacturing"/>
    <x v="13"/>
    <x v="6"/>
    <d v="2025-09-01T00:00:00"/>
    <n v="1700000"/>
    <n v="800000"/>
    <n v="4"/>
    <n v="6"/>
    <n v="900000"/>
    <m/>
    <m/>
    <m/>
  </r>
  <r>
    <n v="1083"/>
    <s v="Harbor Freight Link"/>
    <x v="9"/>
    <x v="7"/>
    <d v="2025-09-03T00:00:00"/>
    <n v="2800000"/>
    <n v="1400000"/>
    <n v="7"/>
    <n v="2"/>
    <n v="1400000"/>
    <m/>
    <m/>
    <m/>
  </r>
  <r>
    <n v="1084"/>
    <s v="GreenGrid Energy"/>
    <x v="4"/>
    <x v="1"/>
    <d v="2025-09-06T00:00:00"/>
    <n v="1700000"/>
    <n v="850000"/>
    <n v="2"/>
    <n v="27"/>
    <n v="850000"/>
    <m/>
    <m/>
    <m/>
  </r>
  <r>
    <n v="1085"/>
    <s v="WellSpring Clinics"/>
    <x v="2"/>
    <x v="1"/>
    <d v="2025-09-10T00:00:00"/>
    <n v="1350000"/>
    <n v="550000"/>
    <n v="3"/>
    <n v="19"/>
    <n v="800000"/>
    <m/>
    <m/>
    <m/>
  </r>
  <r>
    <n v="1086"/>
    <s v="Pulse Media House"/>
    <x v="1"/>
    <x v="2"/>
    <d v="2025-09-12T00:00:00"/>
    <n v="1050000"/>
    <n v="500000"/>
    <n v="4"/>
    <n v="24"/>
    <n v="550000"/>
    <m/>
    <m/>
    <m/>
  </r>
  <r>
    <n v="1087"/>
    <s v="Pulse Media House"/>
    <x v="1"/>
    <x v="5"/>
    <d v="2025-09-15T00:00:00"/>
    <n v="2650000"/>
    <n v="1350000"/>
    <n v="4"/>
    <n v="11"/>
    <n v="1300000"/>
    <m/>
    <m/>
    <m/>
  </r>
  <r>
    <n v="1088"/>
    <s v="Apex Manufacturing"/>
    <x v="13"/>
    <x v="3"/>
    <d v="2025-09-18T00:00:00"/>
    <n v="900000"/>
    <n v="450000"/>
    <n v="2"/>
    <n v="5"/>
    <n v="450000"/>
    <m/>
    <m/>
    <m/>
  </r>
  <r>
    <n v="1089"/>
    <s v="ImpactRise Foundation"/>
    <x v="14"/>
    <x v="2"/>
    <d v="2025-09-22T00:00:00"/>
    <n v="1100000"/>
    <n v="550000"/>
    <n v="5"/>
    <n v="21"/>
    <n v="550000"/>
    <m/>
    <m/>
    <m/>
  </r>
  <r>
    <n v="1090"/>
    <s v="Atlas Logistics"/>
    <x v="9"/>
    <x v="3"/>
    <d v="2025-09-24T00:00:00"/>
    <n v="1100000"/>
    <n v="550000"/>
    <n v="2"/>
    <n v="4"/>
    <n v="550000"/>
    <m/>
    <m/>
    <m/>
  </r>
  <r>
    <n v="1091"/>
    <s v="TechNova Africa"/>
    <x v="12"/>
    <x v="4"/>
    <d v="2025-09-27T00:00:00"/>
    <n v="1350000"/>
    <n v="650000"/>
    <n v="2"/>
    <n v="17"/>
    <n v="700000"/>
    <m/>
    <m/>
    <m/>
  </r>
  <r>
    <n v="1092"/>
    <s v="MetroBuild Projects"/>
    <x v="7"/>
    <x v="2"/>
    <d v="2025-09-30T00:00:00"/>
    <n v="1400000"/>
    <n v="700000"/>
    <n v="5"/>
    <n v="22"/>
    <n v="700000"/>
    <m/>
    <m/>
    <m/>
  </r>
  <r>
    <n v="1093"/>
    <s v="GreenGrid Energy"/>
    <x v="4"/>
    <x v="7"/>
    <d v="2025-10-03T00:00:00"/>
    <n v="1900000"/>
    <n v="1000000"/>
    <n v="6"/>
    <n v="3"/>
    <n v="900000"/>
    <m/>
    <m/>
    <m/>
  </r>
  <r>
    <n v="1094"/>
    <s v="Crestline Mobility"/>
    <x v="15"/>
    <x v="6"/>
    <d v="2025-10-06T00:00:00"/>
    <n v="1600000"/>
    <n v="700000"/>
    <n v="3"/>
    <n v="3"/>
    <n v="900000"/>
    <m/>
    <m/>
    <m/>
  </r>
  <r>
    <n v="1095"/>
    <s v="Lagos Business Hub"/>
    <x v="5"/>
    <x v="6"/>
    <d v="2025-10-10T00:00:00"/>
    <n v="1350000"/>
    <n v="700000"/>
    <n v="3"/>
    <n v="5"/>
    <n v="650000"/>
    <m/>
    <m/>
    <m/>
  </r>
  <r>
    <n v="1096"/>
    <s v="PeakMart Stores"/>
    <x v="6"/>
    <x v="6"/>
    <d v="2025-10-13T00:00:00"/>
    <n v="2150000"/>
    <n v="900000"/>
    <n v="4"/>
    <n v="3"/>
    <n v="1250000"/>
    <m/>
    <m/>
    <m/>
  </r>
  <r>
    <n v="1097"/>
    <s v="Apex Manufacturing"/>
    <x v="13"/>
    <x v="1"/>
    <d v="2025-10-16T00:00:00"/>
    <n v="1600000"/>
    <n v="700000"/>
    <n v="3"/>
    <n v="29"/>
    <n v="900000"/>
    <m/>
    <m/>
    <m/>
  </r>
  <r>
    <n v="1098"/>
    <s v="TechNova Africa"/>
    <x v="12"/>
    <x v="2"/>
    <d v="2025-10-19T00:00:00"/>
    <n v="1450000"/>
    <n v="750000"/>
    <n v="5"/>
    <n v="25"/>
    <n v="700000"/>
    <m/>
    <m/>
    <m/>
  </r>
  <r>
    <n v="1099"/>
    <s v="Beacon Learning Centre"/>
    <x v="5"/>
    <x v="2"/>
    <d v="2025-10-23T00:00:00"/>
    <n v="3350000"/>
    <n v="1600000"/>
    <n v="4"/>
    <n v="30"/>
    <n v="1750000"/>
    <m/>
    <m/>
    <m/>
  </r>
  <r>
    <n v="1100"/>
    <s v="MetroBuild Projects"/>
    <x v="7"/>
    <x v="4"/>
    <d v="2025-10-26T00:00:00"/>
    <n v="1750000"/>
    <n v="900000"/>
    <n v="2"/>
    <n v="14"/>
    <n v="850000"/>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1"/>
    <s v="PrimeEdge Consulting"/>
    <s v="Consulting"/>
    <x v="0"/>
    <x v="0"/>
    <n v="950000"/>
    <n v="400000"/>
    <n v="3"/>
    <n v="2"/>
    <n v="550000"/>
  </r>
  <r>
    <n v="1002"/>
    <s v="Pulse Media House"/>
    <s v="Media"/>
    <x v="0"/>
    <x v="1"/>
    <n v="850000"/>
    <n v="350000"/>
    <n v="3"/>
    <n v="3"/>
    <n v="500000"/>
  </r>
  <r>
    <n v="1003"/>
    <s v="WellSpring Clinics"/>
    <s v="Healthcare"/>
    <x v="1"/>
    <x v="2"/>
    <n v="3150000"/>
    <n v="1350000"/>
    <n v="2"/>
    <n v="19"/>
    <n v="1800000"/>
  </r>
  <r>
    <n v="1004"/>
    <s v="Sterling Support Services"/>
    <s v="Professional Services"/>
    <x v="2"/>
    <x v="3"/>
    <n v="1150000"/>
    <n v="600000"/>
    <n v="3"/>
    <n v="23"/>
    <n v="550000"/>
  </r>
  <r>
    <n v="1005"/>
    <s v="GreenGrid Energy"/>
    <s v="Energy"/>
    <x v="3"/>
    <x v="4"/>
    <n v="1450000"/>
    <n v="700000"/>
    <n v="3"/>
    <n v="5"/>
    <n v="750000"/>
  </r>
  <r>
    <n v="1006"/>
    <s v="Beacon Learning Centre"/>
    <s v="Education"/>
    <x v="0"/>
    <x v="5"/>
    <n v="850000"/>
    <n v="450000"/>
    <n v="2"/>
    <n v="3"/>
    <n v="400000"/>
  </r>
  <r>
    <n v="1007"/>
    <s v="Urban Retail Group"/>
    <s v="Retail"/>
    <x v="2"/>
    <x v="6"/>
    <n v="2600000"/>
    <n v="1350000"/>
    <n v="5"/>
    <n v="26"/>
    <n v="1250000"/>
  </r>
  <r>
    <n v="1008"/>
    <s v="Urban Retail Group"/>
    <s v="Retail"/>
    <x v="3"/>
    <x v="7"/>
    <n v="1450000"/>
    <n v="650000"/>
    <n v="2"/>
    <n v="6"/>
    <n v="800000"/>
  </r>
  <r>
    <n v="1009"/>
    <s v="MetroBuild Projects"/>
    <s v="Construction"/>
    <x v="2"/>
    <x v="8"/>
    <n v="3300000"/>
    <n v="1450000"/>
    <n v="3"/>
    <n v="25"/>
    <n v="1850000"/>
  </r>
  <r>
    <n v="1010"/>
    <s v="Sterling Support Services"/>
    <s v="Professional Services"/>
    <x v="4"/>
    <x v="9"/>
    <n v="1600000"/>
    <n v="700000"/>
    <n v="2"/>
    <n v="18"/>
    <n v="900000"/>
  </r>
  <r>
    <n v="1011"/>
    <s v="Sterling Support Services"/>
    <s v="Professional Services"/>
    <x v="3"/>
    <x v="10"/>
    <n v="1750000"/>
    <n v="800000"/>
    <n v="2"/>
    <n v="4"/>
    <n v="950000"/>
  </r>
  <r>
    <n v="1012"/>
    <s v="Skyline Properties"/>
    <s v="Real Estate"/>
    <x v="2"/>
    <x v="11"/>
    <n v="1650000"/>
    <n v="700000"/>
    <n v="5"/>
    <n v="22"/>
    <n v="950000"/>
  </r>
  <r>
    <n v="1013"/>
    <s v="BrightCare Health"/>
    <s v="Healthcare"/>
    <x v="5"/>
    <x v="12"/>
    <n v="3150000"/>
    <n v="1650000"/>
    <n v="3"/>
    <n v="9"/>
    <n v="1500000"/>
  </r>
  <r>
    <n v="1014"/>
    <s v="Harbor Freight Link"/>
    <s v="Logistics"/>
    <x v="5"/>
    <x v="13"/>
    <n v="2100000"/>
    <n v="950000"/>
    <n v="4"/>
    <n v="10"/>
    <n v="1150000"/>
  </r>
  <r>
    <n v="1015"/>
    <s v="PeakMart Stores"/>
    <s v="Retail"/>
    <x v="3"/>
    <x v="14"/>
    <n v="1900000"/>
    <n v="850000"/>
    <n v="3"/>
    <n v="5"/>
    <n v="1050000"/>
  </r>
  <r>
    <n v="1016"/>
    <s v="Skyline Properties"/>
    <s v="Real Estate"/>
    <x v="0"/>
    <x v="15"/>
    <n v="1150000"/>
    <n v="500000"/>
    <n v="2"/>
    <n v="1"/>
    <n v="650000"/>
  </r>
  <r>
    <n v="1017"/>
    <s v="BlueWave Foods"/>
    <s v="FMCG"/>
    <x v="0"/>
    <x v="16"/>
    <n v="800000"/>
    <n v="400000"/>
    <n v="2"/>
    <n v="1"/>
    <n v="400000"/>
  </r>
  <r>
    <n v="1018"/>
    <s v="NovaBank Digital"/>
    <s v="Fintech"/>
    <x v="1"/>
    <x v="17"/>
    <n v="1500000"/>
    <n v="750000"/>
    <n v="3"/>
    <n v="17"/>
    <n v="750000"/>
  </r>
  <r>
    <n v="1019"/>
    <s v="Sterling Support Services"/>
    <s v="Professional Services"/>
    <x v="4"/>
    <x v="18"/>
    <n v="1850000"/>
    <n v="950000"/>
    <n v="2"/>
    <n v="18"/>
    <n v="900000"/>
  </r>
  <r>
    <n v="1020"/>
    <s v="TechNova Africa"/>
    <s v="Technology"/>
    <x v="6"/>
    <x v="19"/>
    <n v="2500000"/>
    <n v="1100000"/>
    <n v="4"/>
    <n v="6"/>
    <n v="1400000"/>
  </r>
  <r>
    <n v="1021"/>
    <s v="PrimeEdge Consulting"/>
    <s v="Consulting"/>
    <x v="6"/>
    <x v="20"/>
    <n v="1300000"/>
    <n v="650000"/>
    <n v="4"/>
    <n v="6"/>
    <n v="650000"/>
  </r>
  <r>
    <n v="1022"/>
    <s v="Apex Manufacturing"/>
    <s v="Manufacturing"/>
    <x v="7"/>
    <x v="21"/>
    <n v="4350000"/>
    <n v="2350000"/>
    <n v="7"/>
    <n v="3"/>
    <n v="2000000"/>
  </r>
  <r>
    <n v="1023"/>
    <s v="Urban Retail Group"/>
    <s v="Retail"/>
    <x v="6"/>
    <x v="22"/>
    <n v="2250000"/>
    <n v="1150000"/>
    <n v="3"/>
    <n v="4"/>
    <n v="1100000"/>
  </r>
  <r>
    <n v="1024"/>
    <s v="PrimeEdge Consulting"/>
    <s v="Consulting"/>
    <x v="1"/>
    <x v="23"/>
    <n v="3000000"/>
    <n v="1300000"/>
    <n v="3"/>
    <n v="20"/>
    <n v="1700000"/>
  </r>
  <r>
    <n v="1025"/>
    <s v="MetroBuild Projects"/>
    <s v="Construction"/>
    <x v="4"/>
    <x v="24"/>
    <n v="1750000"/>
    <n v="900000"/>
    <n v="2"/>
    <n v="17"/>
    <n v="850000"/>
  </r>
  <r>
    <n v="1026"/>
    <s v="PeakMart Stores"/>
    <s v="Retail"/>
    <x v="0"/>
    <x v="25"/>
    <n v="500000"/>
    <n v="250000"/>
    <n v="2"/>
    <n v="1"/>
    <n v="250000"/>
  </r>
  <r>
    <n v="1027"/>
    <s v="ImpactRise Foundation"/>
    <s v="NGO"/>
    <x v="4"/>
    <x v="26"/>
    <n v="2300000"/>
    <n v="1100000"/>
    <n v="2"/>
    <n v="16"/>
    <n v="1200000"/>
  </r>
  <r>
    <n v="1028"/>
    <s v="NovaBank Digital"/>
    <s v="Fintech"/>
    <x v="7"/>
    <x v="27"/>
    <n v="2800000"/>
    <n v="1250000"/>
    <n v="6"/>
    <n v="2"/>
    <n v="1550000"/>
  </r>
  <r>
    <n v="1029"/>
    <s v="Pulse Media House"/>
    <s v="Media"/>
    <x v="4"/>
    <x v="28"/>
    <n v="2350000"/>
    <n v="1200000"/>
    <n v="3"/>
    <n v="12"/>
    <n v="1150000"/>
  </r>
  <r>
    <n v="1030"/>
    <s v="PrimeEdge Consulting"/>
    <s v="Consulting"/>
    <x v="6"/>
    <x v="29"/>
    <n v="1650000"/>
    <n v="900000"/>
    <n v="3"/>
    <n v="5"/>
    <n v="750000"/>
  </r>
  <r>
    <n v="1031"/>
    <s v="NovaBank Digital"/>
    <s v="Fintech"/>
    <x v="2"/>
    <x v="30"/>
    <n v="2750000"/>
    <n v="1350000"/>
    <n v="5"/>
    <n v="23"/>
    <n v="1400000"/>
  </r>
  <r>
    <n v="1032"/>
    <s v="NovaBank Digital"/>
    <s v="Fintech"/>
    <x v="0"/>
    <x v="31"/>
    <n v="550000"/>
    <n v="300000"/>
    <n v="2"/>
    <n v="3"/>
    <n v="250000"/>
  </r>
  <r>
    <n v="1033"/>
    <s v="BrightCare Health"/>
    <s v="Healthcare"/>
    <x v="5"/>
    <x v="32"/>
    <n v="2350000"/>
    <n v="1100000"/>
    <n v="3"/>
    <n v="7"/>
    <n v="1250000"/>
  </r>
  <r>
    <n v="1034"/>
    <s v="Beacon Learning Centre"/>
    <s v="Education"/>
    <x v="5"/>
    <x v="33"/>
    <n v="2900000"/>
    <n v="1450000"/>
    <n v="4"/>
    <n v="11"/>
    <n v="1450000"/>
  </r>
  <r>
    <n v="1035"/>
    <s v="PrimeEdge Consulting"/>
    <s v="Consulting"/>
    <x v="3"/>
    <x v="34"/>
    <n v="1900000"/>
    <n v="850000"/>
    <n v="3"/>
    <n v="5"/>
    <n v="1050000"/>
  </r>
  <r>
    <n v="1036"/>
    <s v="TechNova Africa"/>
    <s v="Technology"/>
    <x v="0"/>
    <x v="35"/>
    <n v="900000"/>
    <n v="400000"/>
    <n v="2"/>
    <n v="1"/>
    <n v="500000"/>
  </r>
  <r>
    <n v="1037"/>
    <s v="Pulse Media House"/>
    <s v="Media"/>
    <x v="1"/>
    <x v="36"/>
    <n v="3100000"/>
    <n v="1550000"/>
    <n v="2"/>
    <n v="21"/>
    <n v="1550000"/>
  </r>
  <r>
    <n v="1038"/>
    <s v="Sterling Support Services"/>
    <s v="Professional Services"/>
    <x v="0"/>
    <x v="37"/>
    <n v="650000"/>
    <n v="350000"/>
    <n v="2"/>
    <n v="1"/>
    <n v="300000"/>
  </r>
  <r>
    <n v="1039"/>
    <s v="Skyline Properties"/>
    <s v="Real Estate"/>
    <x v="4"/>
    <x v="38"/>
    <n v="1500000"/>
    <n v="700000"/>
    <n v="3"/>
    <n v="19"/>
    <n v="800000"/>
  </r>
  <r>
    <n v="1040"/>
    <s v="Sterling Support Services"/>
    <s v="Professional Services"/>
    <x v="2"/>
    <x v="39"/>
    <n v="3000000"/>
    <n v="1600000"/>
    <n v="4"/>
    <n v="22"/>
    <n v="1400000"/>
  </r>
  <r>
    <n v="1041"/>
    <s v="TechNova Africa"/>
    <s v="Technology"/>
    <x v="6"/>
    <x v="40"/>
    <n v="1350000"/>
    <n v="700000"/>
    <n v="3"/>
    <n v="5"/>
    <n v="650000"/>
  </r>
  <r>
    <n v="1042"/>
    <s v="Lagos Business Hub"/>
    <s v="Education"/>
    <x v="7"/>
    <x v="41"/>
    <n v="2250000"/>
    <n v="1200000"/>
    <n v="5"/>
    <n v="3"/>
    <n v="1050000"/>
  </r>
  <r>
    <n v="1043"/>
    <s v="MetroBuild Projects"/>
    <s v="Construction"/>
    <x v="6"/>
    <x v="42"/>
    <n v="2550000"/>
    <n v="1150000"/>
    <n v="3"/>
    <n v="3"/>
    <n v="1400000"/>
  </r>
  <r>
    <n v="1044"/>
    <s v="Apex Manufacturing"/>
    <s v="Manufacturing"/>
    <x v="6"/>
    <x v="43"/>
    <n v="1100000"/>
    <n v="450000"/>
    <n v="3"/>
    <n v="5"/>
    <n v="650000"/>
  </r>
  <r>
    <n v="1045"/>
    <s v="GreenGrid Energy"/>
    <s v="Energy"/>
    <x v="7"/>
    <x v="44"/>
    <n v="3000000"/>
    <n v="1550000"/>
    <n v="6"/>
    <n v="3"/>
    <n v="1450000"/>
  </r>
  <r>
    <n v="1046"/>
    <s v="Atlas Logistics"/>
    <s v="Logistics"/>
    <x v="3"/>
    <x v="45"/>
    <n v="900000"/>
    <n v="500000"/>
    <n v="2"/>
    <n v="6"/>
    <n v="400000"/>
  </r>
  <r>
    <n v="1047"/>
    <s v="NovaBank Digital"/>
    <s v="Fintech"/>
    <x v="5"/>
    <x v="46"/>
    <n v="3350000"/>
    <n v="1450000"/>
    <n v="3"/>
    <n v="7"/>
    <n v="1900000"/>
  </r>
  <r>
    <n v="1048"/>
    <s v="Lagos Business Hub"/>
    <s v="Education"/>
    <x v="5"/>
    <x v="47"/>
    <n v="1700000"/>
    <n v="900000"/>
    <n v="3"/>
    <n v="10"/>
    <n v="800000"/>
  </r>
  <r>
    <n v="1049"/>
    <s v="Urban Retail Group"/>
    <s v="Retail"/>
    <x v="2"/>
    <x v="48"/>
    <n v="3350000"/>
    <n v="1650000"/>
    <n v="4"/>
    <n v="30"/>
    <n v="1700000"/>
  </r>
  <r>
    <n v="1050"/>
    <s v="TechNova Africa"/>
    <s v="Technology"/>
    <x v="6"/>
    <x v="49"/>
    <n v="1500000"/>
    <n v="800000"/>
    <n v="3"/>
    <n v="6"/>
    <n v="700000"/>
  </r>
  <r>
    <n v="1051"/>
    <s v="Atlas Logistics"/>
    <s v="Logistics"/>
    <x v="1"/>
    <x v="50"/>
    <n v="2350000"/>
    <n v="1100000"/>
    <n v="3"/>
    <n v="22"/>
    <n v="1250000"/>
  </r>
  <r>
    <n v="1052"/>
    <s v="MetroBuild Projects"/>
    <s v="Construction"/>
    <x v="0"/>
    <x v="51"/>
    <n v="600000"/>
    <n v="250000"/>
    <n v="2"/>
    <n v="2"/>
    <n v="350000"/>
  </r>
  <r>
    <n v="1053"/>
    <s v="ImpactRise Foundation"/>
    <s v="NGO"/>
    <x v="2"/>
    <x v="52"/>
    <n v="3500000"/>
    <n v="1900000"/>
    <n v="4"/>
    <n v="25"/>
    <n v="1600000"/>
  </r>
  <r>
    <n v="1054"/>
    <s v="ImpactRise Foundation"/>
    <s v="NGO"/>
    <x v="0"/>
    <x v="53"/>
    <n v="450000"/>
    <n v="200000"/>
    <n v="3"/>
    <n v="2"/>
    <n v="250000"/>
  </r>
  <r>
    <n v="1055"/>
    <s v="MetroBuild Projects"/>
    <s v="Construction"/>
    <x v="7"/>
    <x v="54"/>
    <n v="4050000"/>
    <n v="1950000"/>
    <n v="7"/>
    <n v="3"/>
    <n v="2100000"/>
  </r>
  <r>
    <n v="1056"/>
    <s v="Crestline Mobility"/>
    <s v="Transportation"/>
    <x v="6"/>
    <x v="55"/>
    <n v="2050000"/>
    <n v="1100000"/>
    <n v="3"/>
    <n v="5"/>
    <n v="950000"/>
  </r>
  <r>
    <n v="1057"/>
    <s v="GreenGrid Energy"/>
    <s v="Energy"/>
    <x v="5"/>
    <x v="56"/>
    <n v="2400000"/>
    <n v="1000000"/>
    <n v="4"/>
    <n v="12"/>
    <n v="1400000"/>
  </r>
  <r>
    <n v="1058"/>
    <s v="BlueWave Foods"/>
    <s v="FMCG"/>
    <x v="3"/>
    <x v="57"/>
    <n v="1750000"/>
    <n v="950000"/>
    <n v="2"/>
    <n v="5"/>
    <n v="800000"/>
  </r>
  <r>
    <n v="1059"/>
    <s v="WellSpring Clinics"/>
    <s v="Healthcare"/>
    <x v="7"/>
    <x v="58"/>
    <n v="2400000"/>
    <n v="1100000"/>
    <n v="6"/>
    <n v="1"/>
    <n v="1300000"/>
  </r>
  <r>
    <n v="1060"/>
    <s v="Sterling Support Services"/>
    <s v="Professional Services"/>
    <x v="5"/>
    <x v="59"/>
    <n v="2200000"/>
    <n v="1000000"/>
    <n v="3"/>
    <n v="12"/>
    <n v="1200000"/>
  </r>
  <r>
    <n v="1061"/>
    <s v="Beacon Learning Centre"/>
    <s v="Education"/>
    <x v="7"/>
    <x v="60"/>
    <n v="3700000"/>
    <n v="2050000"/>
    <n v="7"/>
    <n v="2"/>
    <n v="1650000"/>
  </r>
  <r>
    <n v="1062"/>
    <s v="Sterling Support Services"/>
    <s v="Professional Services"/>
    <x v="2"/>
    <x v="61"/>
    <n v="3000000"/>
    <n v="1400000"/>
    <n v="4"/>
    <n v="25"/>
    <n v="1600000"/>
  </r>
  <r>
    <n v="1063"/>
    <s v="PeakMart Stores"/>
    <s v="Retail"/>
    <x v="2"/>
    <x v="62"/>
    <n v="1500000"/>
    <n v="700000"/>
    <n v="4"/>
    <n v="23"/>
    <n v="800000"/>
  </r>
  <r>
    <n v="1064"/>
    <s v="Beacon Learning Centre"/>
    <s v="Education"/>
    <x v="3"/>
    <x v="63"/>
    <n v="1250000"/>
    <n v="600000"/>
    <n v="2"/>
    <n v="5"/>
    <n v="650000"/>
  </r>
  <r>
    <n v="1065"/>
    <s v="Lagos Business Hub"/>
    <s v="Education"/>
    <x v="4"/>
    <x v="64"/>
    <n v="2350000"/>
    <n v="1200000"/>
    <n v="3"/>
    <n v="17"/>
    <n v="1150000"/>
  </r>
  <r>
    <n v="1066"/>
    <s v="Pulse Media House"/>
    <s v="Media"/>
    <x v="7"/>
    <x v="65"/>
    <n v="3750000"/>
    <n v="1800000"/>
    <n v="6"/>
    <n v="3"/>
    <n v="1950000"/>
  </r>
  <r>
    <n v="1067"/>
    <s v="GreenGrid Energy"/>
    <s v="Energy"/>
    <x v="4"/>
    <x v="66"/>
    <n v="1250000"/>
    <n v="550000"/>
    <n v="3"/>
    <n v="11"/>
    <n v="700000"/>
  </r>
  <r>
    <n v="1068"/>
    <s v="ImpactRise Foundation"/>
    <s v="NGO"/>
    <x v="0"/>
    <x v="67"/>
    <n v="900000"/>
    <n v="400000"/>
    <n v="2"/>
    <n v="1"/>
    <n v="500000"/>
  </r>
  <r>
    <n v="1069"/>
    <s v="Atlas Logistics"/>
    <s v="Logistics"/>
    <x v="1"/>
    <x v="68"/>
    <n v="2050000"/>
    <n v="1000000"/>
    <n v="2"/>
    <n v="29"/>
    <n v="1050000"/>
  </r>
  <r>
    <n v="1070"/>
    <s v="Apex Manufacturing"/>
    <s v="Manufacturing"/>
    <x v="7"/>
    <x v="69"/>
    <n v="3400000"/>
    <n v="1600000"/>
    <n v="7"/>
    <n v="2"/>
    <n v="1800000"/>
  </r>
  <r>
    <n v="1071"/>
    <s v="Harbor Freight Link"/>
    <s v="Logistics"/>
    <x v="2"/>
    <x v="70"/>
    <n v="1650000"/>
    <n v="700000"/>
    <n v="5"/>
    <n v="21"/>
    <n v="950000"/>
  </r>
  <r>
    <n v="1072"/>
    <s v="Urban Retail Group"/>
    <s v="Retail"/>
    <x v="1"/>
    <x v="71"/>
    <n v="2000000"/>
    <n v="800000"/>
    <n v="3"/>
    <n v="16"/>
    <n v="1200000"/>
  </r>
  <r>
    <n v="1073"/>
    <s v="PeakMart Stores"/>
    <s v="Retail"/>
    <x v="5"/>
    <x v="72"/>
    <n v="1950000"/>
    <n v="950000"/>
    <n v="4"/>
    <n v="12"/>
    <n v="1000000"/>
  </r>
  <r>
    <n v="1074"/>
    <s v="Pulse Media House"/>
    <s v="Media"/>
    <x v="1"/>
    <x v="73"/>
    <n v="2900000"/>
    <n v="1250000"/>
    <n v="3"/>
    <n v="20"/>
    <n v="1650000"/>
  </r>
  <r>
    <n v="1075"/>
    <s v="Harbor Freight Link"/>
    <s v="Logistics"/>
    <x v="5"/>
    <x v="74"/>
    <n v="2400000"/>
    <n v="1200000"/>
    <n v="4"/>
    <n v="14"/>
    <n v="1200000"/>
  </r>
  <r>
    <n v="1076"/>
    <s v="ImpactRise Foundation"/>
    <s v="NGO"/>
    <x v="1"/>
    <x v="75"/>
    <n v="2700000"/>
    <n v="1050000"/>
    <n v="3"/>
    <n v="22"/>
    <n v="1650000"/>
  </r>
  <r>
    <n v="1077"/>
    <s v="MetroBuild Projects"/>
    <s v="Construction"/>
    <x v="7"/>
    <x v="76"/>
    <n v="2600000"/>
    <n v="1450000"/>
    <n v="5"/>
    <n v="1"/>
    <n v="1150000"/>
  </r>
  <r>
    <n v="1078"/>
    <s v="TechNova Africa"/>
    <s v="Technology"/>
    <x v="3"/>
    <x v="77"/>
    <n v="1400000"/>
    <n v="700000"/>
    <n v="2"/>
    <n v="4"/>
    <n v="700000"/>
  </r>
  <r>
    <n v="1079"/>
    <s v="Apex Manufacturing"/>
    <s v="Manufacturing"/>
    <x v="4"/>
    <x v="78"/>
    <n v="2050000"/>
    <n v="1000000"/>
    <n v="3"/>
    <n v="10"/>
    <n v="1050000"/>
  </r>
  <r>
    <n v="1080"/>
    <s v="PrimeEdge Consulting"/>
    <s v="Consulting"/>
    <x v="4"/>
    <x v="79"/>
    <n v="2200000"/>
    <n v="1150000"/>
    <n v="2"/>
    <n v="19"/>
    <n v="1050000"/>
  </r>
  <r>
    <n v="1081"/>
    <s v="Crestline Mobility"/>
    <s v="Transportation"/>
    <x v="3"/>
    <x v="80"/>
    <n v="800000"/>
    <n v="450000"/>
    <n v="3"/>
    <n v="5"/>
    <n v="350000"/>
  </r>
  <r>
    <n v="1082"/>
    <s v="Apex Manufacturing"/>
    <s v="Manufacturing"/>
    <x v="6"/>
    <x v="81"/>
    <n v="1700000"/>
    <n v="800000"/>
    <n v="4"/>
    <n v="6"/>
    <n v="900000"/>
  </r>
  <r>
    <n v="1083"/>
    <s v="Harbor Freight Link"/>
    <s v="Logistics"/>
    <x v="7"/>
    <x v="82"/>
    <n v="2800000"/>
    <n v="1400000"/>
    <n v="7"/>
    <n v="2"/>
    <n v="1400000"/>
  </r>
  <r>
    <n v="1084"/>
    <s v="GreenGrid Energy"/>
    <s v="Energy"/>
    <x v="1"/>
    <x v="83"/>
    <n v="1700000"/>
    <n v="850000"/>
    <n v="2"/>
    <n v="27"/>
    <n v="850000"/>
  </r>
  <r>
    <n v="1085"/>
    <s v="WellSpring Clinics"/>
    <s v="Healthcare"/>
    <x v="1"/>
    <x v="84"/>
    <n v="1350000"/>
    <n v="550000"/>
    <n v="3"/>
    <n v="19"/>
    <n v="800000"/>
  </r>
  <r>
    <n v="1086"/>
    <s v="Pulse Media House"/>
    <s v="Media"/>
    <x v="2"/>
    <x v="85"/>
    <n v="1050000"/>
    <n v="500000"/>
    <n v="4"/>
    <n v="24"/>
    <n v="550000"/>
  </r>
  <r>
    <n v="1087"/>
    <s v="Pulse Media House"/>
    <s v="Media"/>
    <x v="5"/>
    <x v="86"/>
    <n v="2650000"/>
    <n v="1350000"/>
    <n v="4"/>
    <n v="11"/>
    <n v="1300000"/>
  </r>
  <r>
    <n v="1088"/>
    <s v="Apex Manufacturing"/>
    <s v="Manufacturing"/>
    <x v="3"/>
    <x v="87"/>
    <n v="900000"/>
    <n v="450000"/>
    <n v="2"/>
    <n v="5"/>
    <n v="450000"/>
  </r>
  <r>
    <n v="1089"/>
    <s v="ImpactRise Foundation"/>
    <s v="NGO"/>
    <x v="2"/>
    <x v="88"/>
    <n v="1100000"/>
    <n v="550000"/>
    <n v="5"/>
    <n v="21"/>
    <n v="550000"/>
  </r>
  <r>
    <n v="1090"/>
    <s v="Atlas Logistics"/>
    <s v="Logistics"/>
    <x v="3"/>
    <x v="89"/>
    <n v="1100000"/>
    <n v="550000"/>
    <n v="2"/>
    <n v="4"/>
    <n v="550000"/>
  </r>
  <r>
    <n v="1091"/>
    <s v="TechNova Africa"/>
    <s v="Technology"/>
    <x v="4"/>
    <x v="90"/>
    <n v="1350000"/>
    <n v="650000"/>
    <n v="2"/>
    <n v="17"/>
    <n v="700000"/>
  </r>
  <r>
    <n v="1092"/>
    <s v="MetroBuild Projects"/>
    <s v="Construction"/>
    <x v="2"/>
    <x v="91"/>
    <n v="1400000"/>
    <n v="700000"/>
    <n v="5"/>
    <n v="22"/>
    <n v="700000"/>
  </r>
  <r>
    <n v="1093"/>
    <s v="GreenGrid Energy"/>
    <s v="Energy"/>
    <x v="7"/>
    <x v="92"/>
    <n v="1900000"/>
    <n v="1000000"/>
    <n v="6"/>
    <n v="3"/>
    <n v="900000"/>
  </r>
  <r>
    <n v="1094"/>
    <s v="Crestline Mobility"/>
    <s v="Transportation"/>
    <x v="6"/>
    <x v="93"/>
    <n v="1600000"/>
    <n v="700000"/>
    <n v="3"/>
    <n v="3"/>
    <n v="900000"/>
  </r>
  <r>
    <n v="1095"/>
    <s v="Lagos Business Hub"/>
    <s v="Education"/>
    <x v="6"/>
    <x v="94"/>
    <n v="1350000"/>
    <n v="700000"/>
    <n v="3"/>
    <n v="5"/>
    <n v="650000"/>
  </r>
  <r>
    <n v="1096"/>
    <s v="PeakMart Stores"/>
    <s v="Retail"/>
    <x v="6"/>
    <x v="95"/>
    <n v="2150000"/>
    <n v="900000"/>
    <n v="4"/>
    <n v="3"/>
    <n v="1250000"/>
  </r>
  <r>
    <n v="1097"/>
    <s v="Apex Manufacturing"/>
    <s v="Manufacturing"/>
    <x v="1"/>
    <x v="96"/>
    <n v="1600000"/>
    <n v="700000"/>
    <n v="3"/>
    <n v="29"/>
    <n v="900000"/>
  </r>
  <r>
    <n v="1098"/>
    <s v="TechNova Africa"/>
    <s v="Technology"/>
    <x v="2"/>
    <x v="97"/>
    <n v="1450000"/>
    <n v="750000"/>
    <n v="5"/>
    <n v="25"/>
    <n v="700000"/>
  </r>
  <r>
    <n v="1099"/>
    <s v="Beacon Learning Centre"/>
    <s v="Education"/>
    <x v="2"/>
    <x v="98"/>
    <n v="3350000"/>
    <n v="1600000"/>
    <n v="4"/>
    <n v="30"/>
    <n v="1750000"/>
  </r>
  <r>
    <n v="1100"/>
    <s v="MetroBuild Projects"/>
    <s v="Construction"/>
    <x v="4"/>
    <x v="99"/>
    <n v="1750000"/>
    <n v="900000"/>
    <n v="2"/>
    <n v="14"/>
    <n v="85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294FB8-94A4-6D44-913C-4266EF7A009F}"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B23" firstHeaderRow="1" firstDataRow="1" firstDataCol="1"/>
  <pivotFields count="13">
    <pivotField showAll="0"/>
    <pivotField showAll="0"/>
    <pivotField showAll="0"/>
    <pivotField axis="axisRow" showAll="0">
      <items count="9">
        <item x="4"/>
        <item x="7"/>
        <item x="2"/>
        <item x="0"/>
        <item x="5"/>
        <item x="3"/>
        <item x="1"/>
        <item x="6"/>
        <item t="default"/>
      </items>
    </pivotField>
    <pivotField numFmtId="164" showAll="0"/>
    <pivotField dataField="1" numFmtId="165" showAll="0"/>
    <pivotField numFmtId="165" showAll="0"/>
    <pivotField showAll="0"/>
    <pivotField showAll="0"/>
    <pivotField numFmtId="165"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Sum of Revenue" fld="5" baseField="0" baseItem="0" numFmtId="165"/>
  </dataFields>
  <formats count="15">
    <format dxfId="17">
      <pivotArea field="3" type="button" dataOnly="0" labelOnly="1" outline="0" axis="axisRow" fieldPosition="0"/>
    </format>
    <format dxfId="16">
      <pivotArea dataOnly="0" labelOnly="1" outline="0" axis="axisValues" fieldPosition="0"/>
    </format>
    <format dxfId="15">
      <pivotArea grandRow="1" outline="0" collapsedLevelsAreSubtotals="1" fieldPosition="0"/>
    </format>
    <format dxfId="14">
      <pivotArea field="3" type="button" dataOnly="0" labelOnly="1" outline="0" axis="axisRow" fieldPosition="0"/>
    </format>
    <format dxfId="13">
      <pivotArea dataOnly="0" labelOnly="1" outline="0" axis="axisValues" fieldPosition="0"/>
    </format>
    <format dxfId="12">
      <pivotArea collapsedLevelsAreSubtotals="1" fieldPosition="0">
        <references count="1">
          <reference field="3" count="0"/>
        </references>
      </pivotArea>
    </format>
    <format dxfId="11">
      <pivotArea grandRow="1" outline="0" collapsedLevelsAreSubtotals="1" fieldPosition="0"/>
    </format>
    <format dxfId="10">
      <pivotArea grandRow="1" outline="0" collapsedLevelsAreSubtotals="1" fieldPosition="0"/>
    </format>
    <format dxfId="9">
      <pivotArea field="3" type="button" dataOnly="0" labelOnly="1" outline="0" axis="axisRow" fieldPosition="0"/>
    </format>
    <format dxfId="8">
      <pivotArea dataOnly="0" labelOnly="1" fieldPosition="0">
        <references count="1">
          <reference field="3" count="0"/>
        </references>
      </pivotArea>
    </format>
    <format dxfId="7">
      <pivotArea dataOnly="0" labelOnly="1" grandRow="1" outline="0" fieldPosition="0"/>
    </format>
    <format dxfId="6">
      <pivotArea outline="0" collapsedLevelsAreSubtotals="1" fieldPosition="0"/>
    </format>
    <format dxfId="5">
      <pivotArea dataOnly="0" labelOnly="1" outline="0" axis="axisValues" fieldPosition="0"/>
    </format>
    <format dxfId="4">
      <pivotArea outline="0" collapsedLevelsAreSubtotals="1" fieldPosition="0"/>
    </format>
    <format dxfId="3">
      <pivotArea dataOnly="0" labelOnly="1" outline="0" axis="axisValues"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E9F04A-95C8-6348-9C0A-EF46D7D97671}" name="PivotTable1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3:B112" firstHeaderRow="1" firstDataRow="1" firstDataCol="1"/>
  <pivotFields count="12">
    <pivotField dataField="1" showAll="0"/>
    <pivotField showAll="0"/>
    <pivotField showAll="0"/>
    <pivotField axis="axisRow" showAll="0">
      <items count="9">
        <item x="4"/>
        <item x="7"/>
        <item x="2"/>
        <item x="0"/>
        <item x="5"/>
        <item x="3"/>
        <item x="1"/>
        <item x="6"/>
        <item t="default"/>
      </items>
    </pivotField>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5" showAll="0"/>
    <pivotField numFmtId="165" showAll="0"/>
    <pivotField showAll="0"/>
    <pivotField showAll="0"/>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9">
    <i>
      <x/>
    </i>
    <i>
      <x v="1"/>
    </i>
    <i>
      <x v="2"/>
    </i>
    <i>
      <x v="3"/>
    </i>
    <i>
      <x v="4"/>
    </i>
    <i>
      <x v="5"/>
    </i>
    <i>
      <x v="6"/>
    </i>
    <i>
      <x v="7"/>
    </i>
    <i t="grand">
      <x/>
    </i>
  </rowItems>
  <colItems count="1">
    <i/>
  </colItems>
  <dataFields count="1">
    <dataField name="Count of Project_ID" fld="0" subtotal="count" baseField="0" baseItem="0"/>
  </dataFields>
  <formats count="16">
    <format dxfId="33">
      <pivotArea field="3" type="button" dataOnly="0" labelOnly="1" outline="0" axis="axisRow" fieldPosition="0"/>
    </format>
    <format dxfId="32">
      <pivotArea dataOnly="0" labelOnly="1" outline="0" axis="axisValues" fieldPosition="0"/>
    </format>
    <format dxfId="31">
      <pivotArea field="3" type="button" dataOnly="0" labelOnly="1" outline="0" axis="axisRow" fieldPosition="0"/>
    </format>
    <format dxfId="30">
      <pivotArea dataOnly="0" labelOnly="1" outline="0" axis="axisValues" fieldPosition="0"/>
    </format>
    <format dxfId="29">
      <pivotArea field="3" type="button" dataOnly="0" labelOnly="1" outline="0" axis="axisRow" fieldPosition="0"/>
    </format>
    <format dxfId="28">
      <pivotArea dataOnly="0" labelOnly="1" outline="0" axis="axisValues" fieldPosition="0"/>
    </format>
    <format dxfId="27">
      <pivotArea collapsedLevelsAreSubtotals="1" fieldPosition="0">
        <references count="1">
          <reference field="3" count="1">
            <x v="1"/>
          </reference>
        </references>
      </pivotArea>
    </format>
    <format dxfId="26">
      <pivotArea grandRow="1" outline="0" collapsedLevelsAreSubtotals="1" fieldPosition="0"/>
    </format>
    <format dxfId="25">
      <pivotArea outline="0" collapsedLevelsAreSubtotals="1" fieldPosition="0"/>
    </format>
    <format dxfId="24">
      <pivotArea field="3" type="button" dataOnly="0" labelOnly="1" outline="0" axis="axisRow" fieldPosition="0"/>
    </format>
    <format dxfId="23">
      <pivotArea dataOnly="0" labelOnly="1" fieldPosition="0">
        <references count="1">
          <reference field="3" count="0"/>
        </references>
      </pivotArea>
    </format>
    <format dxfId="22">
      <pivotArea dataOnly="0" labelOnly="1" grandRow="1" outline="0" fieldPosition="0"/>
    </format>
    <format dxfId="21">
      <pivotArea outline="0" collapsedLevelsAreSubtotals="1" fieldPosition="0"/>
    </format>
    <format dxfId="20">
      <pivotArea dataOnly="0" labelOnly="1" outline="0" axis="axisValues" fieldPosition="0"/>
    </format>
    <format dxfId="19">
      <pivotArea outline="0" collapsedLevelsAreSubtotals="1" fieldPosition="0"/>
    </format>
    <format dxfId="1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CCC472-7225-CB44-90C6-1D344DFCBE5D}" name="PivotTable1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6:B97" firstHeaderRow="1" firstDataRow="1" firstDataCol="1"/>
  <pivotFields count="12">
    <pivotField showAll="0"/>
    <pivotField showAll="0"/>
    <pivotField showAll="0"/>
    <pivotField showAll="0"/>
    <pivotField axis="axisRow"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numFmtId="165" showAll="0"/>
    <pivotField numFmtId="165" showAll="0"/>
    <pivotField showAll="0"/>
    <pivotField showAll="0"/>
    <pivotField numFmtId="165"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4"/>
  </rowFields>
  <rowItems count="11">
    <i>
      <x v="1"/>
    </i>
    <i>
      <x v="2"/>
    </i>
    <i>
      <x v="3"/>
    </i>
    <i>
      <x v="4"/>
    </i>
    <i>
      <x v="5"/>
    </i>
    <i>
      <x v="6"/>
    </i>
    <i>
      <x v="7"/>
    </i>
    <i>
      <x v="8"/>
    </i>
    <i>
      <x v="9"/>
    </i>
    <i>
      <x v="10"/>
    </i>
    <i t="grand">
      <x/>
    </i>
  </rowItems>
  <colItems count="1">
    <i/>
  </colItems>
  <dataFields count="1">
    <dataField name="Sum of Revenue" fld="5" baseField="0" baseItem="0" numFmtId="165"/>
  </dataFields>
  <formats count="38">
    <format dxfId="71">
      <pivotArea collapsedLevelsAreSubtotals="1" fieldPosition="0">
        <references count="1">
          <reference field="11" count="1">
            <x v="1"/>
          </reference>
        </references>
      </pivotArea>
    </format>
    <format dxfId="70">
      <pivotArea collapsedLevelsAreSubtotals="1" fieldPosition="0">
        <references count="1">
          <reference field="11" count="1">
            <x v="2"/>
          </reference>
        </references>
      </pivotArea>
    </format>
    <format dxfId="69">
      <pivotArea collapsedLevelsAreSubtotals="1" fieldPosition="0">
        <references count="1">
          <reference field="11" count="1">
            <x v="3"/>
          </reference>
        </references>
      </pivotArea>
    </format>
    <format dxfId="68">
      <pivotArea collapsedLevelsAreSubtotals="1" fieldPosition="0">
        <references count="1">
          <reference field="11" count="1">
            <x v="4"/>
          </reference>
        </references>
      </pivotArea>
    </format>
    <format dxfId="67">
      <pivotArea collapsedLevelsAreSubtotals="1" fieldPosition="0">
        <references count="1">
          <reference field="11" count="1">
            <x v="5"/>
          </reference>
        </references>
      </pivotArea>
    </format>
    <format dxfId="66">
      <pivotArea collapsedLevelsAreSubtotals="1" fieldPosition="0">
        <references count="1">
          <reference field="11" count="1">
            <x v="6"/>
          </reference>
        </references>
      </pivotArea>
    </format>
    <format dxfId="65">
      <pivotArea collapsedLevelsAreSubtotals="1" fieldPosition="0">
        <references count="1">
          <reference field="11" count="1">
            <x v="7"/>
          </reference>
        </references>
      </pivotArea>
    </format>
    <format dxfId="64">
      <pivotArea collapsedLevelsAreSubtotals="1" fieldPosition="0">
        <references count="1">
          <reference field="11" count="1">
            <x v="8"/>
          </reference>
        </references>
      </pivotArea>
    </format>
    <format dxfId="63">
      <pivotArea collapsedLevelsAreSubtotals="1" fieldPosition="0">
        <references count="1">
          <reference field="11" count="1">
            <x v="9"/>
          </reference>
        </references>
      </pivotArea>
    </format>
    <format dxfId="62">
      <pivotArea collapsedLevelsAreSubtotals="1" fieldPosition="0">
        <references count="1">
          <reference field="11" count="1">
            <x v="10"/>
          </reference>
        </references>
      </pivotArea>
    </format>
    <format dxfId="61">
      <pivotArea dataOnly="0" labelOnly="1" fieldPosition="0">
        <references count="1">
          <reference field="11" count="10">
            <x v="1"/>
            <x v="2"/>
            <x v="3"/>
            <x v="4"/>
            <x v="5"/>
            <x v="6"/>
            <x v="7"/>
            <x v="8"/>
            <x v="9"/>
            <x v="10"/>
          </reference>
        </references>
      </pivotArea>
    </format>
    <format dxfId="60">
      <pivotArea field="11" type="button" dataOnly="0" labelOnly="1" outline="0" axis="axisRow" fieldPosition="0"/>
    </format>
    <format dxfId="59">
      <pivotArea dataOnly="0" labelOnly="1" outline="0" axis="axisValues" fieldPosition="0"/>
    </format>
    <format dxfId="58">
      <pivotArea field="11" type="button" dataOnly="0" labelOnly="1" outline="0" axis="axisRow" fieldPosition="0"/>
    </format>
    <format dxfId="57">
      <pivotArea dataOnly="0" labelOnly="1" outline="0" axis="axisValues" fieldPosition="0"/>
    </format>
    <format dxfId="56">
      <pivotArea collapsedLevelsAreSubtotals="1" fieldPosition="0">
        <references count="1">
          <reference field="11" count="1">
            <x v="1"/>
          </reference>
        </references>
      </pivotArea>
    </format>
    <format dxfId="55">
      <pivotArea collapsedLevelsAreSubtotals="1" fieldPosition="0">
        <references count="1">
          <reference field="11" count="1">
            <x v="2"/>
          </reference>
        </references>
      </pivotArea>
    </format>
    <format dxfId="54">
      <pivotArea collapsedLevelsAreSubtotals="1" fieldPosition="0">
        <references count="1">
          <reference field="11" count="1">
            <x v="3"/>
          </reference>
        </references>
      </pivotArea>
    </format>
    <format dxfId="53">
      <pivotArea collapsedLevelsAreSubtotals="1" fieldPosition="0">
        <references count="1">
          <reference field="11" count="1">
            <x v="4"/>
          </reference>
        </references>
      </pivotArea>
    </format>
    <format dxfId="52">
      <pivotArea collapsedLevelsAreSubtotals="1" fieldPosition="0">
        <references count="1">
          <reference field="11" count="1">
            <x v="5"/>
          </reference>
        </references>
      </pivotArea>
    </format>
    <format dxfId="51">
      <pivotArea collapsedLevelsAreSubtotals="1" fieldPosition="0">
        <references count="1">
          <reference field="11" count="1">
            <x v="6"/>
          </reference>
        </references>
      </pivotArea>
    </format>
    <format dxfId="50">
      <pivotArea collapsedLevelsAreSubtotals="1" fieldPosition="0">
        <references count="1">
          <reference field="11" count="1">
            <x v="7"/>
          </reference>
        </references>
      </pivotArea>
    </format>
    <format dxfId="49">
      <pivotArea collapsedLevelsAreSubtotals="1" fieldPosition="0">
        <references count="1">
          <reference field="11" count="1">
            <x v="8"/>
          </reference>
        </references>
      </pivotArea>
    </format>
    <format dxfId="48">
      <pivotArea collapsedLevelsAreSubtotals="1" fieldPosition="0">
        <references count="1">
          <reference field="11" count="1">
            <x v="9"/>
          </reference>
        </references>
      </pivotArea>
    </format>
    <format dxfId="47">
      <pivotArea collapsedLevelsAreSubtotals="1" fieldPosition="0">
        <references count="1">
          <reference field="11" count="1">
            <x v="10"/>
          </reference>
        </references>
      </pivotArea>
    </format>
    <format dxfId="46">
      <pivotArea grandRow="1" outline="0" collapsedLevelsAreSubtotals="1" fieldPosition="0"/>
    </format>
    <format dxfId="45">
      <pivotArea dataOnly="0" labelOnly="1" grandRow="1" outline="0" fieldPosition="0"/>
    </format>
    <format dxfId="44">
      <pivotArea grandRow="1" outline="0" collapsedLevelsAreSubtotals="1" fieldPosition="0"/>
    </format>
    <format dxfId="43">
      <pivotArea dataOnly="0" labelOnly="1" grandRow="1" outline="0" fieldPosition="0"/>
    </format>
    <format dxfId="42">
      <pivotArea collapsedLevelsAreSubtotals="1" fieldPosition="0">
        <references count="1">
          <reference field="11" count="1">
            <x v="2"/>
          </reference>
        </references>
      </pivotArea>
    </format>
    <format dxfId="41">
      <pivotArea grandRow="1" outline="0" collapsedLevelsAreSubtotals="1" fieldPosition="0"/>
    </format>
    <format dxfId="40">
      <pivotArea field="11" type="button" dataOnly="0" labelOnly="1" outline="0" axis="axisRow" fieldPosition="0"/>
    </format>
    <format dxfId="39">
      <pivotArea dataOnly="0" labelOnly="1" fieldPosition="0">
        <references count="1">
          <reference field="11" count="10">
            <x v="1"/>
            <x v="2"/>
            <x v="3"/>
            <x v="4"/>
            <x v="5"/>
            <x v="6"/>
            <x v="7"/>
            <x v="8"/>
            <x v="9"/>
            <x v="10"/>
          </reference>
        </references>
      </pivotArea>
    </format>
    <format dxfId="38">
      <pivotArea dataOnly="0" labelOnly="1" grandRow="1" outline="0" fieldPosition="0"/>
    </format>
    <format dxfId="37">
      <pivotArea outline="0" collapsedLevelsAreSubtotals="1" fieldPosition="0"/>
    </format>
    <format dxfId="36">
      <pivotArea dataOnly="0" labelOnly="1" outline="0" axis="axisValues" fieldPosition="0"/>
    </format>
    <format dxfId="35">
      <pivotArea outline="0" collapsedLevelsAreSubtotals="1" fieldPosition="0"/>
    </format>
    <format dxfId="3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8DEA36-7967-614C-ABEF-D32B578076AE}" name="PivotTable10"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5:B82" firstHeaderRow="1" firstDataRow="1" firstDataCol="1"/>
  <pivotFields count="13">
    <pivotField showAll="0"/>
    <pivotField showAll="0"/>
    <pivotField axis="axisRow" showAll="0" sortType="descending">
      <items count="17">
        <item x="15"/>
        <item x="12"/>
        <item x="6"/>
        <item x="8"/>
        <item x="3"/>
        <item x="14"/>
        <item x="1"/>
        <item x="13"/>
        <item x="9"/>
        <item x="2"/>
        <item x="10"/>
        <item x="11"/>
        <item x="4"/>
        <item x="5"/>
        <item x="0"/>
        <item x="7"/>
        <item t="default"/>
      </items>
    </pivotField>
    <pivotField showAll="0"/>
    <pivotField numFmtId="164" showAll="0"/>
    <pivotField dataField="1" numFmtId="165" showAll="0"/>
    <pivotField numFmtId="165" showAll="0"/>
    <pivotField showAll="0"/>
    <pivotField showAll="0"/>
    <pivotField numFmtId="165" showAll="0"/>
    <pivotField showAll="0"/>
    <pivotField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Revenue" fld="5" baseField="0" baseItem="0" numFmtId="165"/>
  </dataFields>
  <formats count="19">
    <format dxfId="90">
      <pivotArea field="2" type="button" dataOnly="0" labelOnly="1" outline="0" axis="axisRow" fieldPosition="0"/>
    </format>
    <format dxfId="89">
      <pivotArea dataOnly="0" labelOnly="1" outline="0" axis="axisValues" fieldPosition="0"/>
    </format>
    <format dxfId="88">
      <pivotArea field="2" type="button" dataOnly="0" labelOnly="1" outline="0" axis="axisRow" fieldPosition="0"/>
    </format>
    <format dxfId="87">
      <pivotArea dataOnly="0" labelOnly="1" outline="0" axis="axisValues" fieldPosition="0"/>
    </format>
    <format dxfId="86">
      <pivotArea grandRow="1" outline="0" collapsedLevelsAreSubtotals="1" fieldPosition="0"/>
    </format>
    <format dxfId="85">
      <pivotArea dataOnly="0" labelOnly="1" grandRow="1" outline="0" fieldPosition="0"/>
    </format>
    <format dxfId="84">
      <pivotArea grandRow="1" outline="0" collapsedLevelsAreSubtotals="1" fieldPosition="0"/>
    </format>
    <format dxfId="83">
      <pivotArea dataOnly="0" labelOnly="1" grandRow="1" outline="0" fieldPosition="0"/>
    </format>
    <format dxfId="82">
      <pivotArea collapsedLevelsAreSubtotals="1" fieldPosition="0">
        <references count="1">
          <reference field="2" count="15">
            <x v="0"/>
            <x v="1"/>
            <x v="2"/>
            <x v="3"/>
            <x v="4"/>
            <x v="5"/>
            <x v="6"/>
            <x v="7"/>
            <x v="8"/>
            <x v="9"/>
            <x v="10"/>
            <x v="11"/>
            <x v="12"/>
            <x v="13"/>
            <x v="14"/>
          </reference>
        </references>
      </pivotArea>
    </format>
    <format dxfId="81">
      <pivotArea grandRow="1" outline="0" collapsedLevelsAreSubtotals="1" fieldPosition="0"/>
    </format>
    <format dxfId="80">
      <pivotArea collapsedLevelsAreSubtotals="1" fieldPosition="0">
        <references count="1">
          <reference field="2" count="1">
            <x v="1"/>
          </reference>
        </references>
      </pivotArea>
    </format>
    <format dxfId="79">
      <pivotArea collapsedLevelsAreSubtotals="1" fieldPosition="0">
        <references count="1">
          <reference field="2" count="1">
            <x v="15"/>
          </reference>
        </references>
      </pivotArea>
    </format>
    <format dxfId="78">
      <pivotArea field="2" type="button" dataOnly="0" labelOnly="1" outline="0" axis="axisRow" fieldPosition="0"/>
    </format>
    <format dxfId="77">
      <pivotArea dataOnly="0" labelOnly="1" fieldPosition="0">
        <references count="1">
          <reference field="2" count="0"/>
        </references>
      </pivotArea>
    </format>
    <format dxfId="76">
      <pivotArea dataOnly="0" labelOnly="1" grandRow="1" outline="0" fieldPosition="0"/>
    </format>
    <format dxfId="75">
      <pivotArea outline="0" collapsedLevelsAreSubtotals="1" fieldPosition="0"/>
    </format>
    <format dxfId="74">
      <pivotArea dataOnly="0" labelOnly="1" outline="0" axis="axisValues" fieldPosition="0"/>
    </format>
    <format dxfId="73">
      <pivotArea outline="0" collapsedLevelsAreSubtotals="1" fieldPosition="0"/>
    </format>
    <format dxfId="72">
      <pivotArea dataOnly="0" labelOnly="1" outline="0" axis="axisValues" fieldPosition="0"/>
    </format>
  </formats>
  <chartFormats count="1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 chart="1" format="6">
      <pivotArea type="data" outline="0" fieldPosition="0">
        <references count="2">
          <reference field="4294967294" count="1" selected="0">
            <x v="0"/>
          </reference>
          <reference field="2" count="1" selected="0">
            <x v="5"/>
          </reference>
        </references>
      </pivotArea>
    </chartFormat>
    <chartFormat chart="1" format="7">
      <pivotArea type="data" outline="0" fieldPosition="0">
        <references count="2">
          <reference field="4294967294" count="1" selected="0">
            <x v="0"/>
          </reference>
          <reference field="2" count="1" selected="0">
            <x v="6"/>
          </reference>
        </references>
      </pivotArea>
    </chartFormat>
    <chartFormat chart="1" format="8">
      <pivotArea type="data" outline="0" fieldPosition="0">
        <references count="2">
          <reference field="4294967294" count="1" selected="0">
            <x v="0"/>
          </reference>
          <reference field="2" count="1" selected="0">
            <x v="7"/>
          </reference>
        </references>
      </pivotArea>
    </chartFormat>
    <chartFormat chart="1" format="9">
      <pivotArea type="data" outline="0" fieldPosition="0">
        <references count="2">
          <reference field="4294967294" count="1" selected="0">
            <x v="0"/>
          </reference>
          <reference field="2" count="1" selected="0">
            <x v="8"/>
          </reference>
        </references>
      </pivotArea>
    </chartFormat>
    <chartFormat chart="1" format="10">
      <pivotArea type="data" outline="0" fieldPosition="0">
        <references count="2">
          <reference field="4294967294" count="1" selected="0">
            <x v="0"/>
          </reference>
          <reference field="2" count="1" selected="0">
            <x v="9"/>
          </reference>
        </references>
      </pivotArea>
    </chartFormat>
    <chartFormat chart="1" format="11">
      <pivotArea type="data" outline="0" fieldPosition="0">
        <references count="2">
          <reference field="4294967294" count="1" selected="0">
            <x v="0"/>
          </reference>
          <reference field="2" count="1" selected="0">
            <x v="10"/>
          </reference>
        </references>
      </pivotArea>
    </chartFormat>
    <chartFormat chart="1" format="12">
      <pivotArea type="data" outline="0" fieldPosition="0">
        <references count="2">
          <reference field="4294967294" count="1" selected="0">
            <x v="0"/>
          </reference>
          <reference field="2" count="1" selected="0">
            <x v="11"/>
          </reference>
        </references>
      </pivotArea>
    </chartFormat>
    <chartFormat chart="1" format="13">
      <pivotArea type="data" outline="0" fieldPosition="0">
        <references count="2">
          <reference field="4294967294" count="1" selected="0">
            <x v="0"/>
          </reference>
          <reference field="2" count="1" selected="0">
            <x v="12"/>
          </reference>
        </references>
      </pivotArea>
    </chartFormat>
    <chartFormat chart="1" format="14">
      <pivotArea type="data" outline="0" fieldPosition="0">
        <references count="2">
          <reference field="4294967294" count="1" selected="0">
            <x v="0"/>
          </reference>
          <reference field="2" count="1" selected="0">
            <x v="13"/>
          </reference>
        </references>
      </pivotArea>
    </chartFormat>
    <chartFormat chart="1" format="15">
      <pivotArea type="data" outline="0" fieldPosition="0">
        <references count="2">
          <reference field="4294967294" count="1" selected="0">
            <x v="0"/>
          </reference>
          <reference field="2" count="1" selected="0">
            <x v="14"/>
          </reference>
        </references>
      </pivotArea>
    </chartFormat>
    <chartFormat chart="1" format="16">
      <pivotArea type="data" outline="0" fieldPosition="0">
        <references count="2">
          <reference field="4294967294" count="1" selected="0">
            <x v="0"/>
          </reference>
          <reference field="2"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0D59C7-B04E-1745-85A2-A4B2BC950AD4}" name="PivotTable9"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2:B41" firstHeaderRow="1" firstDataRow="1" firstDataCol="1"/>
  <pivotFields count="13">
    <pivotField showAll="0"/>
    <pivotField showAll="0"/>
    <pivotField showAll="0"/>
    <pivotField axis="axisRow" showAll="0">
      <items count="9">
        <item x="4"/>
        <item x="7"/>
        <item x="2"/>
        <item x="0"/>
        <item x="5"/>
        <item x="3"/>
        <item x="1"/>
        <item x="6"/>
        <item t="default"/>
      </items>
    </pivotField>
    <pivotField numFmtId="164" showAll="0"/>
    <pivotField numFmtId="165" showAll="0"/>
    <pivotField numFmtId="165" showAll="0"/>
    <pivotField showAll="0"/>
    <pivotField showAll="0"/>
    <pivotField dataField="1" numFmtId="165"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Sum of Profit" fld="9" baseField="0" baseItem="0" numFmtId="165"/>
  </dataFields>
  <formats count="16">
    <format dxfId="106">
      <pivotArea grandRow="1" outline="0" collapsedLevelsAreSubtotals="1" fieldPosition="0"/>
    </format>
    <format dxfId="105">
      <pivotArea field="3" type="button" dataOnly="0" labelOnly="1" outline="0" axis="axisRow" fieldPosition="0"/>
    </format>
    <format dxfId="104">
      <pivotArea dataOnly="0" labelOnly="1" outline="0" axis="axisValues" fieldPosition="0"/>
    </format>
    <format dxfId="103">
      <pivotArea field="3" type="button" dataOnly="0" labelOnly="1" outline="0" axis="axisRow" fieldPosition="0"/>
    </format>
    <format dxfId="102">
      <pivotArea dataOnly="0" labelOnly="1" outline="0" axis="axisValues" fieldPosition="0"/>
    </format>
    <format dxfId="101">
      <pivotArea collapsedLevelsAreSubtotals="1" fieldPosition="0">
        <references count="1">
          <reference field="3" count="0"/>
        </references>
      </pivotArea>
    </format>
    <format dxfId="100">
      <pivotArea grandRow="1" outline="0" collapsedLevelsAreSubtotals="1" fieldPosition="0"/>
    </format>
    <format dxfId="99">
      <pivotArea grandRow="1" outline="0" collapsedLevelsAreSubtotals="1" fieldPosition="0"/>
    </format>
    <format dxfId="98">
      <pivotArea collapsedLevelsAreSubtotals="1" fieldPosition="0">
        <references count="1">
          <reference field="3" count="1">
            <x v="1"/>
          </reference>
        </references>
      </pivotArea>
    </format>
    <format dxfId="97">
      <pivotArea field="3" type="button" dataOnly="0" labelOnly="1" outline="0" axis="axisRow" fieldPosition="0"/>
    </format>
    <format dxfId="96">
      <pivotArea dataOnly="0" labelOnly="1" fieldPosition="0">
        <references count="1">
          <reference field="3" count="0"/>
        </references>
      </pivotArea>
    </format>
    <format dxfId="95">
      <pivotArea dataOnly="0" labelOnly="1" grandRow="1" outline="0" fieldPosition="0"/>
    </format>
    <format dxfId="94">
      <pivotArea outline="0" collapsedLevelsAreSubtotals="1" fieldPosition="0"/>
    </format>
    <format dxfId="93">
      <pivotArea dataOnly="0" labelOnly="1" outline="0" axis="axisValues" fieldPosition="0"/>
    </format>
    <format dxfId="92">
      <pivotArea outline="0" collapsedLevelsAreSubtotals="1" fieldPosition="0"/>
    </format>
    <format dxfId="9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igiverseProjects" displayName="DigiverseProjects" ref="A1:K101">
  <autoFilter ref="A1:K101" xr:uid="{00000000-0009-0000-0100-000001000000}"/>
  <tableColumns count="11">
    <tableColumn id="1" xr3:uid="{00000000-0010-0000-0000-000001000000}" name="Project_ID"/>
    <tableColumn id="2" xr3:uid="{00000000-0010-0000-0000-000002000000}" name="Client_Name"/>
    <tableColumn id="3" xr3:uid="{00000000-0010-0000-0000-000003000000}" name="Industry"/>
    <tableColumn id="4" xr3:uid="{00000000-0010-0000-0000-000004000000}" name="Service"/>
    <tableColumn id="5" xr3:uid="{00000000-0010-0000-0000-000005000000}" name="Project_Date"/>
    <tableColumn id="6" xr3:uid="{00000000-0010-0000-0000-000006000000}" name="Revenue"/>
    <tableColumn id="7" xr3:uid="{00000000-0010-0000-0000-000007000000}" name="Cost"/>
    <tableColumn id="8" xr3:uid="{00000000-0010-0000-0000-000008000000}" name="Team_Size"/>
    <tableColumn id="14" xr3:uid="{FA0C5336-B704-A940-AADC-9E0DC4B26F8A}" name="Project_Duration_Days" dataDxfId="2"/>
    <tableColumn id="13" xr3:uid="{48134D47-3A73-BA44-9AF9-9ABB58CA0B78}" name="Profit" dataDxfId="1">
      <calculatedColumnFormula>F2-G2</calculatedColumnFormula>
    </tableColumn>
    <tableColumn id="12" xr3:uid="{463DBC5A-5E48-DF41-BABE-2F6DBD1060A5}" name="Profit Margin" dataDxfId="0">
      <calculatedColumnFormula>(F2-G2)/F2</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showGridLines="0" tabSelected="1" workbookViewId="0">
      <pane ySplit="1" topLeftCell="A2" activePane="bottomLeft" state="frozen"/>
      <selection pane="bottomLeft" activeCell="M9" sqref="M9"/>
    </sheetView>
  </sheetViews>
  <sheetFormatPr baseColWidth="10" defaultColWidth="8.83203125" defaultRowHeight="15" x14ac:dyDescent="0.2"/>
  <cols>
    <col min="1" max="1" width="12" customWidth="1"/>
    <col min="2" max="2" width="24" customWidth="1"/>
    <col min="3" max="3" width="20" customWidth="1"/>
    <col min="4" max="4" width="29" customWidth="1"/>
    <col min="5" max="5" width="16.33203125" customWidth="1"/>
    <col min="6" max="7" width="14" customWidth="1"/>
    <col min="8" max="8" width="14.5" customWidth="1"/>
    <col min="9" max="9" width="25.83203125" customWidth="1"/>
    <col min="10" max="10" width="14.5" customWidth="1"/>
    <col min="11" max="11" width="19.83203125" style="42" customWidth="1"/>
  </cols>
  <sheetData>
    <row r="1" spans="1:11" x14ac:dyDescent="0.2">
      <c r="A1" s="1" t="s">
        <v>64</v>
      </c>
      <c r="B1" s="1" t="s">
        <v>65</v>
      </c>
      <c r="C1" s="1" t="s">
        <v>66</v>
      </c>
      <c r="D1" s="1" t="s">
        <v>67</v>
      </c>
      <c r="E1" s="1" t="s">
        <v>68</v>
      </c>
      <c r="F1" s="1" t="s">
        <v>69</v>
      </c>
      <c r="G1" s="1" t="s">
        <v>70</v>
      </c>
      <c r="H1" s="1" t="s">
        <v>71</v>
      </c>
      <c r="I1" s="1" t="s">
        <v>72</v>
      </c>
      <c r="J1" s="1" t="s">
        <v>73</v>
      </c>
      <c r="K1" s="40" t="s">
        <v>144</v>
      </c>
    </row>
    <row r="2" spans="1:11" x14ac:dyDescent="0.2">
      <c r="A2" s="2">
        <v>1001</v>
      </c>
      <c r="B2" t="s">
        <v>0</v>
      </c>
      <c r="C2" t="s">
        <v>1</v>
      </c>
      <c r="D2" t="s">
        <v>2</v>
      </c>
      <c r="E2" s="3">
        <v>45660</v>
      </c>
      <c r="F2" s="4">
        <v>950000</v>
      </c>
      <c r="G2" s="4">
        <v>400000</v>
      </c>
      <c r="H2" s="2">
        <v>3</v>
      </c>
      <c r="I2" s="2">
        <v>2</v>
      </c>
      <c r="J2" s="6">
        <f t="shared" ref="J2:J33" si="0">F2-G2</f>
        <v>550000</v>
      </c>
      <c r="K2" s="41">
        <f t="shared" ref="K2:K33" si="1">(F2-G2)/F2</f>
        <v>0.57894736842105265</v>
      </c>
    </row>
    <row r="3" spans="1:11" x14ac:dyDescent="0.2">
      <c r="A3" s="2">
        <v>1002</v>
      </c>
      <c r="B3" t="s">
        <v>3</v>
      </c>
      <c r="C3" t="s">
        <v>4</v>
      </c>
      <c r="D3" t="s">
        <v>2</v>
      </c>
      <c r="E3" s="3">
        <v>45662</v>
      </c>
      <c r="F3" s="4">
        <v>850000</v>
      </c>
      <c r="G3" s="4">
        <v>350000</v>
      </c>
      <c r="H3" s="2">
        <v>3</v>
      </c>
      <c r="I3" s="2">
        <v>3</v>
      </c>
      <c r="J3" s="6">
        <f t="shared" si="0"/>
        <v>500000</v>
      </c>
      <c r="K3" s="41">
        <f t="shared" si="1"/>
        <v>0.58823529411764708</v>
      </c>
    </row>
    <row r="4" spans="1:11" x14ac:dyDescent="0.2">
      <c r="A4" s="2">
        <v>1003</v>
      </c>
      <c r="B4" t="s">
        <v>5</v>
      </c>
      <c r="C4" t="s">
        <v>6</v>
      </c>
      <c r="D4" t="s">
        <v>7</v>
      </c>
      <c r="E4" s="3">
        <v>45665</v>
      </c>
      <c r="F4" s="4">
        <v>3150000</v>
      </c>
      <c r="G4" s="4">
        <v>1350000</v>
      </c>
      <c r="H4" s="2">
        <v>2</v>
      </c>
      <c r="I4" s="2">
        <v>19</v>
      </c>
      <c r="J4" s="6">
        <f t="shared" si="0"/>
        <v>1800000</v>
      </c>
      <c r="K4" s="41">
        <f t="shared" si="1"/>
        <v>0.5714285714285714</v>
      </c>
    </row>
    <row r="5" spans="1:11" x14ac:dyDescent="0.2">
      <c r="A5" s="2">
        <v>1004</v>
      </c>
      <c r="B5" t="s">
        <v>8</v>
      </c>
      <c r="C5" t="s">
        <v>9</v>
      </c>
      <c r="D5" t="s">
        <v>10</v>
      </c>
      <c r="E5" s="3">
        <v>45668</v>
      </c>
      <c r="F5" s="4">
        <v>1150000</v>
      </c>
      <c r="G5" s="4">
        <v>600000</v>
      </c>
      <c r="H5" s="2">
        <v>3</v>
      </c>
      <c r="I5" s="2">
        <v>23</v>
      </c>
      <c r="J5" s="6">
        <f t="shared" si="0"/>
        <v>550000</v>
      </c>
      <c r="K5" s="41">
        <f t="shared" si="1"/>
        <v>0.47826086956521741</v>
      </c>
    </row>
    <row r="6" spans="1:11" x14ac:dyDescent="0.2">
      <c r="A6" s="2">
        <v>1005</v>
      </c>
      <c r="B6" t="s">
        <v>11</v>
      </c>
      <c r="C6" t="s">
        <v>12</v>
      </c>
      <c r="D6" t="s">
        <v>13</v>
      </c>
      <c r="E6" s="3">
        <v>45672</v>
      </c>
      <c r="F6" s="4">
        <v>1450000</v>
      </c>
      <c r="G6" s="4">
        <v>700000</v>
      </c>
      <c r="H6" s="2">
        <v>3</v>
      </c>
      <c r="I6" s="2">
        <v>5</v>
      </c>
      <c r="J6" s="6">
        <f t="shared" si="0"/>
        <v>750000</v>
      </c>
      <c r="K6" s="41">
        <f t="shared" si="1"/>
        <v>0.51724137931034486</v>
      </c>
    </row>
    <row r="7" spans="1:11" x14ac:dyDescent="0.2">
      <c r="A7" s="2">
        <v>1006</v>
      </c>
      <c r="B7" t="s">
        <v>14</v>
      </c>
      <c r="C7" t="s">
        <v>15</v>
      </c>
      <c r="D7" t="s">
        <v>2</v>
      </c>
      <c r="E7" s="3">
        <v>45675</v>
      </c>
      <c r="F7" s="4">
        <v>850000</v>
      </c>
      <c r="G7" s="4">
        <v>450000</v>
      </c>
      <c r="H7" s="2">
        <v>2</v>
      </c>
      <c r="I7" s="2">
        <v>3</v>
      </c>
      <c r="J7" s="6">
        <f t="shared" si="0"/>
        <v>400000</v>
      </c>
      <c r="K7" s="41">
        <f t="shared" si="1"/>
        <v>0.47058823529411764</v>
      </c>
    </row>
    <row r="8" spans="1:11" x14ac:dyDescent="0.2">
      <c r="A8" s="2">
        <v>1007</v>
      </c>
      <c r="B8" t="s">
        <v>16</v>
      </c>
      <c r="C8" t="s">
        <v>17</v>
      </c>
      <c r="D8" t="s">
        <v>10</v>
      </c>
      <c r="E8" s="3">
        <v>45679</v>
      </c>
      <c r="F8" s="4">
        <v>2600000</v>
      </c>
      <c r="G8" s="4">
        <v>1350000</v>
      </c>
      <c r="H8" s="2">
        <v>5</v>
      </c>
      <c r="I8" s="2">
        <v>26</v>
      </c>
      <c r="J8" s="6">
        <f t="shared" si="0"/>
        <v>1250000</v>
      </c>
      <c r="K8" s="41">
        <f t="shared" si="1"/>
        <v>0.48076923076923078</v>
      </c>
    </row>
    <row r="9" spans="1:11" x14ac:dyDescent="0.2">
      <c r="A9" s="2">
        <v>1008</v>
      </c>
      <c r="B9" t="s">
        <v>16</v>
      </c>
      <c r="C9" t="s">
        <v>17</v>
      </c>
      <c r="D9" t="s">
        <v>13</v>
      </c>
      <c r="E9" s="3">
        <v>45682</v>
      </c>
      <c r="F9" s="4">
        <v>1450000</v>
      </c>
      <c r="G9" s="4">
        <v>650000</v>
      </c>
      <c r="H9" s="2">
        <v>2</v>
      </c>
      <c r="I9" s="2">
        <v>6</v>
      </c>
      <c r="J9" s="6">
        <f t="shared" si="0"/>
        <v>800000</v>
      </c>
      <c r="K9" s="41">
        <f t="shared" si="1"/>
        <v>0.55172413793103448</v>
      </c>
    </row>
    <row r="10" spans="1:11" x14ac:dyDescent="0.2">
      <c r="A10" s="2">
        <v>1009</v>
      </c>
      <c r="B10" t="s">
        <v>18</v>
      </c>
      <c r="C10" t="s">
        <v>19</v>
      </c>
      <c r="D10" t="s">
        <v>10</v>
      </c>
      <c r="E10" s="3">
        <v>45686</v>
      </c>
      <c r="F10" s="4">
        <v>3300000</v>
      </c>
      <c r="G10" s="4">
        <v>1450000</v>
      </c>
      <c r="H10" s="2">
        <v>3</v>
      </c>
      <c r="I10" s="2">
        <v>25</v>
      </c>
      <c r="J10" s="6">
        <f t="shared" si="0"/>
        <v>1850000</v>
      </c>
      <c r="K10" s="41">
        <f t="shared" si="1"/>
        <v>0.56060606060606055</v>
      </c>
    </row>
    <row r="11" spans="1:11" x14ac:dyDescent="0.2">
      <c r="A11" s="2">
        <v>1010</v>
      </c>
      <c r="B11" t="s">
        <v>8</v>
      </c>
      <c r="C11" t="s">
        <v>9</v>
      </c>
      <c r="D11" t="s">
        <v>20</v>
      </c>
      <c r="E11" s="3">
        <v>45690</v>
      </c>
      <c r="F11" s="4">
        <v>1600000</v>
      </c>
      <c r="G11" s="4">
        <v>700000</v>
      </c>
      <c r="H11" s="2">
        <v>2</v>
      </c>
      <c r="I11" s="2">
        <v>18</v>
      </c>
      <c r="J11" s="6">
        <f t="shared" si="0"/>
        <v>900000</v>
      </c>
      <c r="K11" s="41">
        <f t="shared" si="1"/>
        <v>0.5625</v>
      </c>
    </row>
    <row r="12" spans="1:11" x14ac:dyDescent="0.2">
      <c r="A12" s="2">
        <v>1011</v>
      </c>
      <c r="B12" t="s">
        <v>8</v>
      </c>
      <c r="C12" t="s">
        <v>9</v>
      </c>
      <c r="D12" t="s">
        <v>13</v>
      </c>
      <c r="E12" s="3">
        <v>45692</v>
      </c>
      <c r="F12" s="4">
        <v>1750000</v>
      </c>
      <c r="G12" s="4">
        <v>800000</v>
      </c>
      <c r="H12" s="2">
        <v>2</v>
      </c>
      <c r="I12" s="2">
        <v>4</v>
      </c>
      <c r="J12" s="6">
        <f t="shared" si="0"/>
        <v>950000</v>
      </c>
      <c r="K12" s="41">
        <f t="shared" si="1"/>
        <v>0.54285714285714282</v>
      </c>
    </row>
    <row r="13" spans="1:11" x14ac:dyDescent="0.2">
      <c r="A13" s="2">
        <v>1012</v>
      </c>
      <c r="B13" t="s">
        <v>21</v>
      </c>
      <c r="C13" t="s">
        <v>22</v>
      </c>
      <c r="D13" t="s">
        <v>10</v>
      </c>
      <c r="E13" s="3">
        <v>45695</v>
      </c>
      <c r="F13" s="4">
        <v>1650000</v>
      </c>
      <c r="G13" s="4">
        <v>700000</v>
      </c>
      <c r="H13" s="2">
        <v>5</v>
      </c>
      <c r="I13" s="2">
        <v>22</v>
      </c>
      <c r="J13" s="6">
        <f t="shared" si="0"/>
        <v>950000</v>
      </c>
      <c r="K13" s="41">
        <f t="shared" si="1"/>
        <v>0.5757575757575758</v>
      </c>
    </row>
    <row r="14" spans="1:11" x14ac:dyDescent="0.2">
      <c r="A14" s="2">
        <v>1013</v>
      </c>
      <c r="B14" t="s">
        <v>23</v>
      </c>
      <c r="C14" t="s">
        <v>6</v>
      </c>
      <c r="D14" t="s">
        <v>24</v>
      </c>
      <c r="E14" s="3">
        <v>45699</v>
      </c>
      <c r="F14" s="4">
        <v>3150000</v>
      </c>
      <c r="G14" s="4">
        <v>1650000</v>
      </c>
      <c r="H14" s="2">
        <v>3</v>
      </c>
      <c r="I14" s="2">
        <v>9</v>
      </c>
      <c r="J14" s="6">
        <f t="shared" si="0"/>
        <v>1500000</v>
      </c>
      <c r="K14" s="41">
        <f t="shared" si="1"/>
        <v>0.47619047619047616</v>
      </c>
    </row>
    <row r="15" spans="1:11" x14ac:dyDescent="0.2">
      <c r="A15" s="2">
        <v>1014</v>
      </c>
      <c r="B15" t="s">
        <v>25</v>
      </c>
      <c r="C15" t="s">
        <v>26</v>
      </c>
      <c r="D15" t="s">
        <v>24</v>
      </c>
      <c r="E15" s="3">
        <v>45703</v>
      </c>
      <c r="F15" s="4">
        <v>2100000</v>
      </c>
      <c r="G15" s="4">
        <v>950000</v>
      </c>
      <c r="H15" s="2">
        <v>4</v>
      </c>
      <c r="I15" s="2">
        <v>10</v>
      </c>
      <c r="J15" s="6">
        <f t="shared" si="0"/>
        <v>1150000</v>
      </c>
      <c r="K15" s="41">
        <f t="shared" si="1"/>
        <v>0.54761904761904767</v>
      </c>
    </row>
    <row r="16" spans="1:11" x14ac:dyDescent="0.2">
      <c r="A16" s="2">
        <v>1015</v>
      </c>
      <c r="B16" t="s">
        <v>27</v>
      </c>
      <c r="C16" t="s">
        <v>17</v>
      </c>
      <c r="D16" t="s">
        <v>13</v>
      </c>
      <c r="E16" s="3">
        <v>45707</v>
      </c>
      <c r="F16" s="4">
        <v>1900000</v>
      </c>
      <c r="G16" s="4">
        <v>850000</v>
      </c>
      <c r="H16" s="2">
        <v>3</v>
      </c>
      <c r="I16" s="2">
        <v>5</v>
      </c>
      <c r="J16" s="6">
        <f t="shared" si="0"/>
        <v>1050000</v>
      </c>
      <c r="K16" s="41">
        <f t="shared" si="1"/>
        <v>0.55263157894736847</v>
      </c>
    </row>
    <row r="17" spans="1:11" x14ac:dyDescent="0.2">
      <c r="A17" s="2">
        <v>1016</v>
      </c>
      <c r="B17" t="s">
        <v>21</v>
      </c>
      <c r="C17" t="s">
        <v>22</v>
      </c>
      <c r="D17" t="s">
        <v>2</v>
      </c>
      <c r="E17" s="3">
        <v>45710</v>
      </c>
      <c r="F17" s="4">
        <v>1150000</v>
      </c>
      <c r="G17" s="4">
        <v>500000</v>
      </c>
      <c r="H17" s="2">
        <v>2</v>
      </c>
      <c r="I17" s="2">
        <v>1</v>
      </c>
      <c r="J17" s="6">
        <f t="shared" si="0"/>
        <v>650000</v>
      </c>
      <c r="K17" s="41">
        <f t="shared" si="1"/>
        <v>0.56521739130434778</v>
      </c>
    </row>
    <row r="18" spans="1:11" x14ac:dyDescent="0.2">
      <c r="A18" s="2">
        <v>1017</v>
      </c>
      <c r="B18" t="s">
        <v>28</v>
      </c>
      <c r="C18" t="s">
        <v>29</v>
      </c>
      <c r="D18" t="s">
        <v>2</v>
      </c>
      <c r="E18" s="3">
        <v>45712</v>
      </c>
      <c r="F18" s="4">
        <v>800000</v>
      </c>
      <c r="G18" s="4">
        <v>400000</v>
      </c>
      <c r="H18" s="2">
        <v>2</v>
      </c>
      <c r="I18" s="2">
        <v>1</v>
      </c>
      <c r="J18" s="6">
        <f t="shared" si="0"/>
        <v>400000</v>
      </c>
      <c r="K18" s="41">
        <f t="shared" si="1"/>
        <v>0.5</v>
      </c>
    </row>
    <row r="19" spans="1:11" x14ac:dyDescent="0.2">
      <c r="A19" s="2">
        <v>1018</v>
      </c>
      <c r="B19" t="s">
        <v>30</v>
      </c>
      <c r="C19" t="s">
        <v>31</v>
      </c>
      <c r="D19" t="s">
        <v>7</v>
      </c>
      <c r="E19" s="3">
        <v>45714</v>
      </c>
      <c r="F19" s="4">
        <v>1500000</v>
      </c>
      <c r="G19" s="4">
        <v>750000</v>
      </c>
      <c r="H19" s="2">
        <v>3</v>
      </c>
      <c r="I19" s="2">
        <v>17</v>
      </c>
      <c r="J19" s="6">
        <f t="shared" si="0"/>
        <v>750000</v>
      </c>
      <c r="K19" s="41">
        <f t="shared" si="1"/>
        <v>0.5</v>
      </c>
    </row>
    <row r="20" spans="1:11" x14ac:dyDescent="0.2">
      <c r="A20" s="2">
        <v>1019</v>
      </c>
      <c r="B20" t="s">
        <v>8</v>
      </c>
      <c r="C20" t="s">
        <v>9</v>
      </c>
      <c r="D20" t="s">
        <v>20</v>
      </c>
      <c r="E20" s="3">
        <v>45716</v>
      </c>
      <c r="F20" s="4">
        <v>1850000</v>
      </c>
      <c r="G20" s="4">
        <v>950000</v>
      </c>
      <c r="H20" s="2">
        <v>2</v>
      </c>
      <c r="I20" s="2">
        <v>18</v>
      </c>
      <c r="J20" s="6">
        <f t="shared" si="0"/>
        <v>900000</v>
      </c>
      <c r="K20" s="41">
        <f t="shared" si="1"/>
        <v>0.48648648648648651</v>
      </c>
    </row>
    <row r="21" spans="1:11" x14ac:dyDescent="0.2">
      <c r="A21" s="2">
        <v>1020</v>
      </c>
      <c r="B21" t="s">
        <v>32</v>
      </c>
      <c r="C21" t="s">
        <v>33</v>
      </c>
      <c r="D21" t="s">
        <v>34</v>
      </c>
      <c r="E21" s="3">
        <v>45720</v>
      </c>
      <c r="F21" s="4">
        <v>2500000</v>
      </c>
      <c r="G21" s="4">
        <v>1100000</v>
      </c>
      <c r="H21" s="2">
        <v>4</v>
      </c>
      <c r="I21" s="2">
        <v>6</v>
      </c>
      <c r="J21" s="6">
        <f t="shared" si="0"/>
        <v>1400000</v>
      </c>
      <c r="K21" s="41">
        <f t="shared" si="1"/>
        <v>0.56000000000000005</v>
      </c>
    </row>
    <row r="22" spans="1:11" x14ac:dyDescent="0.2">
      <c r="A22" s="2">
        <v>1021</v>
      </c>
      <c r="B22" t="s">
        <v>0</v>
      </c>
      <c r="C22" t="s">
        <v>1</v>
      </c>
      <c r="D22" t="s">
        <v>34</v>
      </c>
      <c r="E22" s="3">
        <v>45722</v>
      </c>
      <c r="F22" s="4">
        <v>1300000</v>
      </c>
      <c r="G22" s="4">
        <v>650000</v>
      </c>
      <c r="H22" s="2">
        <v>4</v>
      </c>
      <c r="I22" s="2">
        <v>6</v>
      </c>
      <c r="J22" s="6">
        <f t="shared" si="0"/>
        <v>650000</v>
      </c>
      <c r="K22" s="41">
        <f t="shared" si="1"/>
        <v>0.5</v>
      </c>
    </row>
    <row r="23" spans="1:11" x14ac:dyDescent="0.2">
      <c r="A23" s="2">
        <v>1022</v>
      </c>
      <c r="B23" t="s">
        <v>35</v>
      </c>
      <c r="C23" t="s">
        <v>36</v>
      </c>
      <c r="D23" t="s">
        <v>37</v>
      </c>
      <c r="E23" s="3">
        <v>45725</v>
      </c>
      <c r="F23" s="4">
        <v>4350000</v>
      </c>
      <c r="G23" s="4">
        <v>2350000</v>
      </c>
      <c r="H23" s="2">
        <v>7</v>
      </c>
      <c r="I23" s="2">
        <v>3</v>
      </c>
      <c r="J23" s="6">
        <f t="shared" si="0"/>
        <v>2000000</v>
      </c>
      <c r="K23" s="41">
        <f t="shared" si="1"/>
        <v>0.45977011494252873</v>
      </c>
    </row>
    <row r="24" spans="1:11" x14ac:dyDescent="0.2">
      <c r="A24" s="2">
        <v>1023</v>
      </c>
      <c r="B24" t="s">
        <v>16</v>
      </c>
      <c r="C24" t="s">
        <v>17</v>
      </c>
      <c r="D24" t="s">
        <v>34</v>
      </c>
      <c r="E24" s="3">
        <v>45727</v>
      </c>
      <c r="F24" s="4">
        <v>2250000</v>
      </c>
      <c r="G24" s="4">
        <v>1150000</v>
      </c>
      <c r="H24" s="2">
        <v>3</v>
      </c>
      <c r="I24" s="2">
        <v>4</v>
      </c>
      <c r="J24" s="6">
        <f t="shared" si="0"/>
        <v>1100000</v>
      </c>
      <c r="K24" s="41">
        <f t="shared" si="1"/>
        <v>0.48888888888888887</v>
      </c>
    </row>
    <row r="25" spans="1:11" x14ac:dyDescent="0.2">
      <c r="A25" s="2">
        <v>1024</v>
      </c>
      <c r="B25" t="s">
        <v>0</v>
      </c>
      <c r="C25" t="s">
        <v>1</v>
      </c>
      <c r="D25" t="s">
        <v>7</v>
      </c>
      <c r="E25" s="3">
        <v>45729</v>
      </c>
      <c r="F25" s="4">
        <v>3000000</v>
      </c>
      <c r="G25" s="4">
        <v>1300000</v>
      </c>
      <c r="H25" s="2">
        <v>3</v>
      </c>
      <c r="I25" s="2">
        <v>20</v>
      </c>
      <c r="J25" s="6">
        <f t="shared" si="0"/>
        <v>1700000</v>
      </c>
      <c r="K25" s="41">
        <f t="shared" si="1"/>
        <v>0.56666666666666665</v>
      </c>
    </row>
    <row r="26" spans="1:11" x14ac:dyDescent="0.2">
      <c r="A26" s="2">
        <v>1025</v>
      </c>
      <c r="B26" t="s">
        <v>18</v>
      </c>
      <c r="C26" t="s">
        <v>19</v>
      </c>
      <c r="D26" t="s">
        <v>20</v>
      </c>
      <c r="E26" s="3">
        <v>45732</v>
      </c>
      <c r="F26" s="4">
        <v>1750000</v>
      </c>
      <c r="G26" s="4">
        <v>900000</v>
      </c>
      <c r="H26" s="2">
        <v>2</v>
      </c>
      <c r="I26" s="2">
        <v>17</v>
      </c>
      <c r="J26" s="6">
        <f t="shared" si="0"/>
        <v>850000</v>
      </c>
      <c r="K26" s="41">
        <f t="shared" si="1"/>
        <v>0.48571428571428571</v>
      </c>
    </row>
    <row r="27" spans="1:11" x14ac:dyDescent="0.2">
      <c r="A27" s="2">
        <v>1026</v>
      </c>
      <c r="B27" t="s">
        <v>27</v>
      </c>
      <c r="C27" t="s">
        <v>17</v>
      </c>
      <c r="D27" t="s">
        <v>2</v>
      </c>
      <c r="E27" s="3">
        <v>45734</v>
      </c>
      <c r="F27" s="4">
        <v>500000</v>
      </c>
      <c r="G27" s="4">
        <v>250000</v>
      </c>
      <c r="H27" s="2">
        <v>2</v>
      </c>
      <c r="I27" s="2">
        <v>1</v>
      </c>
      <c r="J27" s="6">
        <f t="shared" si="0"/>
        <v>250000</v>
      </c>
      <c r="K27" s="41">
        <f t="shared" si="1"/>
        <v>0.5</v>
      </c>
    </row>
    <row r="28" spans="1:11" x14ac:dyDescent="0.2">
      <c r="A28" s="2">
        <v>1027</v>
      </c>
      <c r="B28" t="s">
        <v>38</v>
      </c>
      <c r="C28" t="s">
        <v>39</v>
      </c>
      <c r="D28" t="s">
        <v>20</v>
      </c>
      <c r="E28" s="3">
        <v>45736</v>
      </c>
      <c r="F28" s="4">
        <v>2300000</v>
      </c>
      <c r="G28" s="4">
        <v>1100000</v>
      </c>
      <c r="H28" s="2">
        <v>2</v>
      </c>
      <c r="I28" s="2">
        <v>16</v>
      </c>
      <c r="J28" s="6">
        <f t="shared" si="0"/>
        <v>1200000</v>
      </c>
      <c r="K28" s="41">
        <f t="shared" si="1"/>
        <v>0.52173913043478259</v>
      </c>
    </row>
    <row r="29" spans="1:11" x14ac:dyDescent="0.2">
      <c r="A29" s="2">
        <v>1028</v>
      </c>
      <c r="B29" t="s">
        <v>30</v>
      </c>
      <c r="C29" t="s">
        <v>31</v>
      </c>
      <c r="D29" t="s">
        <v>37</v>
      </c>
      <c r="E29" s="3">
        <v>45738</v>
      </c>
      <c r="F29" s="4">
        <v>2800000</v>
      </c>
      <c r="G29" s="4">
        <v>1250000</v>
      </c>
      <c r="H29" s="2">
        <v>6</v>
      </c>
      <c r="I29" s="2">
        <v>2</v>
      </c>
      <c r="J29" s="6">
        <f t="shared" si="0"/>
        <v>1550000</v>
      </c>
      <c r="K29" s="41">
        <f t="shared" si="1"/>
        <v>0.5535714285714286</v>
      </c>
    </row>
    <row r="30" spans="1:11" x14ac:dyDescent="0.2">
      <c r="A30" s="2">
        <v>1029</v>
      </c>
      <c r="B30" t="s">
        <v>3</v>
      </c>
      <c r="C30" t="s">
        <v>4</v>
      </c>
      <c r="D30" t="s">
        <v>20</v>
      </c>
      <c r="E30" s="3">
        <v>45741</v>
      </c>
      <c r="F30" s="4">
        <v>2350000</v>
      </c>
      <c r="G30" s="4">
        <v>1200000</v>
      </c>
      <c r="H30" s="2">
        <v>3</v>
      </c>
      <c r="I30" s="2">
        <v>12</v>
      </c>
      <c r="J30" s="6">
        <f t="shared" si="0"/>
        <v>1150000</v>
      </c>
      <c r="K30" s="41">
        <f t="shared" si="1"/>
        <v>0.48936170212765956</v>
      </c>
    </row>
    <row r="31" spans="1:11" x14ac:dyDescent="0.2">
      <c r="A31" s="2">
        <v>1030</v>
      </c>
      <c r="B31" t="s">
        <v>0</v>
      </c>
      <c r="C31" t="s">
        <v>1</v>
      </c>
      <c r="D31" t="s">
        <v>34</v>
      </c>
      <c r="E31" s="3">
        <v>45744</v>
      </c>
      <c r="F31" s="4">
        <v>1650000</v>
      </c>
      <c r="G31" s="4">
        <v>900000</v>
      </c>
      <c r="H31" s="2">
        <v>3</v>
      </c>
      <c r="I31" s="2">
        <v>5</v>
      </c>
      <c r="J31" s="6">
        <f t="shared" si="0"/>
        <v>750000</v>
      </c>
      <c r="K31" s="41">
        <f t="shared" si="1"/>
        <v>0.45454545454545453</v>
      </c>
    </row>
    <row r="32" spans="1:11" x14ac:dyDescent="0.2">
      <c r="A32" s="2">
        <v>1031</v>
      </c>
      <c r="B32" t="s">
        <v>30</v>
      </c>
      <c r="C32" t="s">
        <v>31</v>
      </c>
      <c r="D32" t="s">
        <v>10</v>
      </c>
      <c r="E32" s="3">
        <v>45746</v>
      </c>
      <c r="F32" s="4">
        <v>2750000</v>
      </c>
      <c r="G32" s="4">
        <v>1350000</v>
      </c>
      <c r="H32" s="2">
        <v>5</v>
      </c>
      <c r="I32" s="2">
        <v>23</v>
      </c>
      <c r="J32" s="6">
        <f t="shared" si="0"/>
        <v>1400000</v>
      </c>
      <c r="K32" s="41">
        <f t="shared" si="1"/>
        <v>0.50909090909090904</v>
      </c>
    </row>
    <row r="33" spans="1:11" x14ac:dyDescent="0.2">
      <c r="A33" s="2">
        <v>1032</v>
      </c>
      <c r="B33" t="s">
        <v>30</v>
      </c>
      <c r="C33" t="s">
        <v>31</v>
      </c>
      <c r="D33" t="s">
        <v>2</v>
      </c>
      <c r="E33" s="3">
        <v>45750</v>
      </c>
      <c r="F33" s="4">
        <v>550000</v>
      </c>
      <c r="G33" s="4">
        <v>300000</v>
      </c>
      <c r="H33" s="2">
        <v>2</v>
      </c>
      <c r="I33" s="2">
        <v>3</v>
      </c>
      <c r="J33" s="6">
        <f t="shared" si="0"/>
        <v>250000</v>
      </c>
      <c r="K33" s="41">
        <f t="shared" si="1"/>
        <v>0.45454545454545453</v>
      </c>
    </row>
    <row r="34" spans="1:11" x14ac:dyDescent="0.2">
      <c r="A34" s="2">
        <v>1033</v>
      </c>
      <c r="B34" t="s">
        <v>23</v>
      </c>
      <c r="C34" t="s">
        <v>6</v>
      </c>
      <c r="D34" t="s">
        <v>24</v>
      </c>
      <c r="E34" s="3">
        <v>45754</v>
      </c>
      <c r="F34" s="4">
        <v>2350000</v>
      </c>
      <c r="G34" s="4">
        <v>1100000</v>
      </c>
      <c r="H34" s="2">
        <v>3</v>
      </c>
      <c r="I34" s="2">
        <v>7</v>
      </c>
      <c r="J34" s="6">
        <f t="shared" ref="J34:J65" si="2">F34-G34</f>
        <v>1250000</v>
      </c>
      <c r="K34" s="41">
        <f t="shared" ref="K34:K65" si="3">(F34-G34)/F34</f>
        <v>0.53191489361702127</v>
      </c>
    </row>
    <row r="35" spans="1:11" x14ac:dyDescent="0.2">
      <c r="A35" s="2">
        <v>1034</v>
      </c>
      <c r="B35" t="s">
        <v>14</v>
      </c>
      <c r="C35" t="s">
        <v>15</v>
      </c>
      <c r="D35" t="s">
        <v>24</v>
      </c>
      <c r="E35" s="3">
        <v>45756</v>
      </c>
      <c r="F35" s="4">
        <v>2900000</v>
      </c>
      <c r="G35" s="4">
        <v>1450000</v>
      </c>
      <c r="H35" s="2">
        <v>4</v>
      </c>
      <c r="I35" s="2">
        <v>11</v>
      </c>
      <c r="J35" s="6">
        <f t="shared" si="2"/>
        <v>1450000</v>
      </c>
      <c r="K35" s="41">
        <f t="shared" si="3"/>
        <v>0.5</v>
      </c>
    </row>
    <row r="36" spans="1:11" x14ac:dyDescent="0.2">
      <c r="A36" s="2">
        <v>1035</v>
      </c>
      <c r="B36" t="s">
        <v>0</v>
      </c>
      <c r="C36" t="s">
        <v>1</v>
      </c>
      <c r="D36" t="s">
        <v>13</v>
      </c>
      <c r="E36" s="3">
        <v>45760</v>
      </c>
      <c r="F36" s="4">
        <v>1900000</v>
      </c>
      <c r="G36" s="4">
        <v>850000</v>
      </c>
      <c r="H36" s="2">
        <v>3</v>
      </c>
      <c r="I36" s="2">
        <v>5</v>
      </c>
      <c r="J36" s="6">
        <f t="shared" si="2"/>
        <v>1050000</v>
      </c>
      <c r="K36" s="41">
        <f t="shared" si="3"/>
        <v>0.55263157894736847</v>
      </c>
    </row>
    <row r="37" spans="1:11" x14ac:dyDescent="0.2">
      <c r="A37" s="2">
        <v>1036</v>
      </c>
      <c r="B37" t="s">
        <v>32</v>
      </c>
      <c r="C37" t="s">
        <v>33</v>
      </c>
      <c r="D37" t="s">
        <v>2</v>
      </c>
      <c r="E37" s="3">
        <v>45764</v>
      </c>
      <c r="F37" s="4">
        <v>900000</v>
      </c>
      <c r="G37" s="4">
        <v>400000</v>
      </c>
      <c r="H37" s="2">
        <v>2</v>
      </c>
      <c r="I37" s="2">
        <v>1</v>
      </c>
      <c r="J37" s="6">
        <f t="shared" si="2"/>
        <v>500000</v>
      </c>
      <c r="K37" s="41">
        <f t="shared" si="3"/>
        <v>0.55555555555555558</v>
      </c>
    </row>
    <row r="38" spans="1:11" x14ac:dyDescent="0.2">
      <c r="A38" s="2">
        <v>1037</v>
      </c>
      <c r="B38" t="s">
        <v>3</v>
      </c>
      <c r="C38" t="s">
        <v>4</v>
      </c>
      <c r="D38" t="s">
        <v>7</v>
      </c>
      <c r="E38" s="3">
        <v>45768</v>
      </c>
      <c r="F38" s="4">
        <v>3100000</v>
      </c>
      <c r="G38" s="4">
        <v>1550000</v>
      </c>
      <c r="H38" s="2">
        <v>2</v>
      </c>
      <c r="I38" s="2">
        <v>21</v>
      </c>
      <c r="J38" s="6">
        <f t="shared" si="2"/>
        <v>1550000</v>
      </c>
      <c r="K38" s="41">
        <f t="shared" si="3"/>
        <v>0.5</v>
      </c>
    </row>
    <row r="39" spans="1:11" x14ac:dyDescent="0.2">
      <c r="A39" s="2">
        <v>1038</v>
      </c>
      <c r="B39" t="s">
        <v>8</v>
      </c>
      <c r="C39" t="s">
        <v>9</v>
      </c>
      <c r="D39" t="s">
        <v>2</v>
      </c>
      <c r="E39" s="3">
        <v>45771</v>
      </c>
      <c r="F39" s="4">
        <v>650000</v>
      </c>
      <c r="G39" s="4">
        <v>350000</v>
      </c>
      <c r="H39" s="2">
        <v>2</v>
      </c>
      <c r="I39" s="2">
        <v>1</v>
      </c>
      <c r="J39" s="6">
        <f t="shared" si="2"/>
        <v>300000</v>
      </c>
      <c r="K39" s="41">
        <f t="shared" si="3"/>
        <v>0.46153846153846156</v>
      </c>
    </row>
    <row r="40" spans="1:11" x14ac:dyDescent="0.2">
      <c r="A40" s="2">
        <v>1039</v>
      </c>
      <c r="B40" t="s">
        <v>21</v>
      </c>
      <c r="C40" t="s">
        <v>22</v>
      </c>
      <c r="D40" t="s">
        <v>20</v>
      </c>
      <c r="E40" s="3">
        <v>45774</v>
      </c>
      <c r="F40" s="4">
        <v>1500000</v>
      </c>
      <c r="G40" s="4">
        <v>700000</v>
      </c>
      <c r="H40" s="2">
        <v>3</v>
      </c>
      <c r="I40" s="2">
        <v>19</v>
      </c>
      <c r="J40" s="6">
        <f t="shared" si="2"/>
        <v>800000</v>
      </c>
      <c r="K40" s="41">
        <f t="shared" si="3"/>
        <v>0.53333333333333333</v>
      </c>
    </row>
    <row r="41" spans="1:11" x14ac:dyDescent="0.2">
      <c r="A41" s="2">
        <v>1040</v>
      </c>
      <c r="B41" t="s">
        <v>8</v>
      </c>
      <c r="C41" t="s">
        <v>9</v>
      </c>
      <c r="D41" t="s">
        <v>10</v>
      </c>
      <c r="E41" s="3">
        <v>45776</v>
      </c>
      <c r="F41" s="4">
        <v>3000000</v>
      </c>
      <c r="G41" s="4">
        <v>1600000</v>
      </c>
      <c r="H41" s="2">
        <v>4</v>
      </c>
      <c r="I41" s="2">
        <v>22</v>
      </c>
      <c r="J41" s="6">
        <f t="shared" si="2"/>
        <v>1400000</v>
      </c>
      <c r="K41" s="41">
        <f t="shared" si="3"/>
        <v>0.46666666666666667</v>
      </c>
    </row>
    <row r="42" spans="1:11" x14ac:dyDescent="0.2">
      <c r="A42" s="2">
        <v>1041</v>
      </c>
      <c r="B42" t="s">
        <v>32</v>
      </c>
      <c r="C42" t="s">
        <v>33</v>
      </c>
      <c r="D42" t="s">
        <v>34</v>
      </c>
      <c r="E42" s="3">
        <v>45779</v>
      </c>
      <c r="F42" s="4">
        <v>1350000</v>
      </c>
      <c r="G42" s="4">
        <v>700000</v>
      </c>
      <c r="H42" s="2">
        <v>3</v>
      </c>
      <c r="I42" s="2">
        <v>5</v>
      </c>
      <c r="J42" s="6">
        <f t="shared" si="2"/>
        <v>650000</v>
      </c>
      <c r="K42" s="41">
        <f t="shared" si="3"/>
        <v>0.48148148148148145</v>
      </c>
    </row>
    <row r="43" spans="1:11" x14ac:dyDescent="0.2">
      <c r="A43" s="2">
        <v>1042</v>
      </c>
      <c r="B43" t="s">
        <v>40</v>
      </c>
      <c r="C43" t="s">
        <v>15</v>
      </c>
      <c r="D43" t="s">
        <v>37</v>
      </c>
      <c r="E43" s="3">
        <v>45783</v>
      </c>
      <c r="F43" s="4">
        <v>2250000</v>
      </c>
      <c r="G43" s="4">
        <v>1200000</v>
      </c>
      <c r="H43" s="2">
        <v>5</v>
      </c>
      <c r="I43" s="2">
        <v>3</v>
      </c>
      <c r="J43" s="6">
        <f t="shared" si="2"/>
        <v>1050000</v>
      </c>
      <c r="K43" s="41">
        <f t="shared" si="3"/>
        <v>0.46666666666666667</v>
      </c>
    </row>
    <row r="44" spans="1:11" x14ac:dyDescent="0.2">
      <c r="A44" s="2">
        <v>1043</v>
      </c>
      <c r="B44" t="s">
        <v>18</v>
      </c>
      <c r="C44" t="s">
        <v>19</v>
      </c>
      <c r="D44" t="s">
        <v>34</v>
      </c>
      <c r="E44" s="3">
        <v>45787</v>
      </c>
      <c r="F44" s="4">
        <v>2550000</v>
      </c>
      <c r="G44" s="4">
        <v>1150000</v>
      </c>
      <c r="H44" s="2">
        <v>3</v>
      </c>
      <c r="I44" s="2">
        <v>3</v>
      </c>
      <c r="J44" s="6">
        <f t="shared" si="2"/>
        <v>1400000</v>
      </c>
      <c r="K44" s="41">
        <f t="shared" si="3"/>
        <v>0.5490196078431373</v>
      </c>
    </row>
    <row r="45" spans="1:11" x14ac:dyDescent="0.2">
      <c r="A45" s="2">
        <v>1044</v>
      </c>
      <c r="B45" t="s">
        <v>35</v>
      </c>
      <c r="C45" t="s">
        <v>36</v>
      </c>
      <c r="D45" t="s">
        <v>34</v>
      </c>
      <c r="E45" s="3">
        <v>45790</v>
      </c>
      <c r="F45" s="4">
        <v>1100000</v>
      </c>
      <c r="G45" s="4">
        <v>450000</v>
      </c>
      <c r="H45" s="2">
        <v>3</v>
      </c>
      <c r="I45" s="2">
        <v>5</v>
      </c>
      <c r="J45" s="6">
        <f t="shared" si="2"/>
        <v>650000</v>
      </c>
      <c r="K45" s="41">
        <f t="shared" si="3"/>
        <v>0.59090909090909094</v>
      </c>
    </row>
    <row r="46" spans="1:11" x14ac:dyDescent="0.2">
      <c r="A46" s="2">
        <v>1045</v>
      </c>
      <c r="B46" t="s">
        <v>11</v>
      </c>
      <c r="C46" t="s">
        <v>12</v>
      </c>
      <c r="D46" t="s">
        <v>37</v>
      </c>
      <c r="E46" s="3">
        <v>45794</v>
      </c>
      <c r="F46" s="4">
        <v>3000000</v>
      </c>
      <c r="G46" s="4">
        <v>1550000</v>
      </c>
      <c r="H46" s="2">
        <v>6</v>
      </c>
      <c r="I46" s="2">
        <v>3</v>
      </c>
      <c r="J46" s="6">
        <f t="shared" si="2"/>
        <v>1450000</v>
      </c>
      <c r="K46" s="41">
        <f t="shared" si="3"/>
        <v>0.48333333333333334</v>
      </c>
    </row>
    <row r="47" spans="1:11" x14ac:dyDescent="0.2">
      <c r="A47" s="2">
        <v>1046</v>
      </c>
      <c r="B47" t="s">
        <v>41</v>
      </c>
      <c r="C47" t="s">
        <v>26</v>
      </c>
      <c r="D47" t="s">
        <v>13</v>
      </c>
      <c r="E47" s="3">
        <v>45796</v>
      </c>
      <c r="F47" s="4">
        <v>900000</v>
      </c>
      <c r="G47" s="4">
        <v>500000</v>
      </c>
      <c r="H47" s="2">
        <v>2</v>
      </c>
      <c r="I47" s="2">
        <v>6</v>
      </c>
      <c r="J47" s="6">
        <f t="shared" si="2"/>
        <v>400000</v>
      </c>
      <c r="K47" s="41">
        <f t="shared" si="3"/>
        <v>0.44444444444444442</v>
      </c>
    </row>
    <row r="48" spans="1:11" x14ac:dyDescent="0.2">
      <c r="A48" s="2">
        <v>1047</v>
      </c>
      <c r="B48" t="s">
        <v>30</v>
      </c>
      <c r="C48" t="s">
        <v>31</v>
      </c>
      <c r="D48" t="s">
        <v>24</v>
      </c>
      <c r="E48" s="3">
        <v>45799</v>
      </c>
      <c r="F48" s="4">
        <v>3350000</v>
      </c>
      <c r="G48" s="4">
        <v>1450000</v>
      </c>
      <c r="H48" s="2">
        <v>3</v>
      </c>
      <c r="I48" s="2">
        <v>7</v>
      </c>
      <c r="J48" s="6">
        <f t="shared" si="2"/>
        <v>1900000</v>
      </c>
      <c r="K48" s="41">
        <f t="shared" si="3"/>
        <v>0.56716417910447758</v>
      </c>
    </row>
    <row r="49" spans="1:11" x14ac:dyDescent="0.2">
      <c r="A49" s="2">
        <v>1048</v>
      </c>
      <c r="B49" t="s">
        <v>40</v>
      </c>
      <c r="C49" t="s">
        <v>15</v>
      </c>
      <c r="D49" t="s">
        <v>24</v>
      </c>
      <c r="E49" s="3">
        <v>45802</v>
      </c>
      <c r="F49" s="4">
        <v>1700000</v>
      </c>
      <c r="G49" s="4">
        <v>900000</v>
      </c>
      <c r="H49" s="2">
        <v>3</v>
      </c>
      <c r="I49" s="2">
        <v>10</v>
      </c>
      <c r="J49" s="6">
        <f t="shared" si="2"/>
        <v>800000</v>
      </c>
      <c r="K49" s="41">
        <f t="shared" si="3"/>
        <v>0.47058823529411764</v>
      </c>
    </row>
    <row r="50" spans="1:11" x14ac:dyDescent="0.2">
      <c r="A50" s="2">
        <v>1049</v>
      </c>
      <c r="B50" t="s">
        <v>16</v>
      </c>
      <c r="C50" t="s">
        <v>17</v>
      </c>
      <c r="D50" t="s">
        <v>10</v>
      </c>
      <c r="E50" s="3">
        <v>45805</v>
      </c>
      <c r="F50" s="4">
        <v>3350000</v>
      </c>
      <c r="G50" s="4">
        <v>1650000</v>
      </c>
      <c r="H50" s="2">
        <v>4</v>
      </c>
      <c r="I50" s="2">
        <v>30</v>
      </c>
      <c r="J50" s="6">
        <f t="shared" si="2"/>
        <v>1700000</v>
      </c>
      <c r="K50" s="41">
        <f t="shared" si="3"/>
        <v>0.5074626865671642</v>
      </c>
    </row>
    <row r="51" spans="1:11" x14ac:dyDescent="0.2">
      <c r="A51" s="2">
        <v>1050</v>
      </c>
      <c r="B51" t="s">
        <v>32</v>
      </c>
      <c r="C51" t="s">
        <v>33</v>
      </c>
      <c r="D51" t="s">
        <v>34</v>
      </c>
      <c r="E51" s="3">
        <v>45807</v>
      </c>
      <c r="F51" s="4">
        <v>1500000</v>
      </c>
      <c r="G51" s="4">
        <v>800000</v>
      </c>
      <c r="H51" s="2">
        <v>3</v>
      </c>
      <c r="I51" s="2">
        <v>6</v>
      </c>
      <c r="J51" s="6">
        <f t="shared" si="2"/>
        <v>700000</v>
      </c>
      <c r="K51" s="41">
        <f t="shared" si="3"/>
        <v>0.46666666666666667</v>
      </c>
    </row>
    <row r="52" spans="1:11" x14ac:dyDescent="0.2">
      <c r="A52" s="2">
        <v>1051</v>
      </c>
      <c r="B52" t="s">
        <v>41</v>
      </c>
      <c r="C52" t="s">
        <v>26</v>
      </c>
      <c r="D52" t="s">
        <v>7</v>
      </c>
      <c r="E52" s="3">
        <v>45809</v>
      </c>
      <c r="F52" s="4">
        <v>2350000</v>
      </c>
      <c r="G52" s="4">
        <v>1100000</v>
      </c>
      <c r="H52" s="2">
        <v>3</v>
      </c>
      <c r="I52" s="2">
        <v>22</v>
      </c>
      <c r="J52" s="6">
        <f t="shared" si="2"/>
        <v>1250000</v>
      </c>
      <c r="K52" s="41">
        <f t="shared" si="3"/>
        <v>0.53191489361702127</v>
      </c>
    </row>
    <row r="53" spans="1:11" x14ac:dyDescent="0.2">
      <c r="A53" s="2">
        <v>1052</v>
      </c>
      <c r="B53" t="s">
        <v>18</v>
      </c>
      <c r="C53" t="s">
        <v>19</v>
      </c>
      <c r="D53" t="s">
        <v>2</v>
      </c>
      <c r="E53" s="3">
        <v>45811</v>
      </c>
      <c r="F53" s="4">
        <v>600000</v>
      </c>
      <c r="G53" s="4">
        <v>250000</v>
      </c>
      <c r="H53" s="2">
        <v>2</v>
      </c>
      <c r="I53" s="2">
        <v>2</v>
      </c>
      <c r="J53" s="6">
        <f t="shared" si="2"/>
        <v>350000</v>
      </c>
      <c r="K53" s="41">
        <f t="shared" si="3"/>
        <v>0.58333333333333337</v>
      </c>
    </row>
    <row r="54" spans="1:11" x14ac:dyDescent="0.2">
      <c r="A54" s="2">
        <v>1053</v>
      </c>
      <c r="B54" t="s">
        <v>38</v>
      </c>
      <c r="C54" t="s">
        <v>39</v>
      </c>
      <c r="D54" t="s">
        <v>10</v>
      </c>
      <c r="E54" s="3">
        <v>45813</v>
      </c>
      <c r="F54" s="4">
        <v>3500000</v>
      </c>
      <c r="G54" s="4">
        <v>1900000</v>
      </c>
      <c r="H54" s="2">
        <v>4</v>
      </c>
      <c r="I54" s="2">
        <v>25</v>
      </c>
      <c r="J54" s="6">
        <f t="shared" si="2"/>
        <v>1600000</v>
      </c>
      <c r="K54" s="41">
        <f t="shared" si="3"/>
        <v>0.45714285714285713</v>
      </c>
    </row>
    <row r="55" spans="1:11" x14ac:dyDescent="0.2">
      <c r="A55" s="2">
        <v>1054</v>
      </c>
      <c r="B55" t="s">
        <v>38</v>
      </c>
      <c r="C55" t="s">
        <v>39</v>
      </c>
      <c r="D55" t="s">
        <v>2</v>
      </c>
      <c r="E55" s="3">
        <v>45815</v>
      </c>
      <c r="F55" s="4">
        <v>450000</v>
      </c>
      <c r="G55" s="4">
        <v>200000</v>
      </c>
      <c r="H55" s="2">
        <v>3</v>
      </c>
      <c r="I55" s="2">
        <v>2</v>
      </c>
      <c r="J55" s="6">
        <f t="shared" si="2"/>
        <v>250000</v>
      </c>
      <c r="K55" s="41">
        <f t="shared" si="3"/>
        <v>0.55555555555555558</v>
      </c>
    </row>
    <row r="56" spans="1:11" x14ac:dyDescent="0.2">
      <c r="A56" s="2">
        <v>1055</v>
      </c>
      <c r="B56" t="s">
        <v>18</v>
      </c>
      <c r="C56" t="s">
        <v>19</v>
      </c>
      <c r="D56" t="s">
        <v>37</v>
      </c>
      <c r="E56" s="3">
        <v>45817</v>
      </c>
      <c r="F56" s="4">
        <v>4050000</v>
      </c>
      <c r="G56" s="4">
        <v>1950000</v>
      </c>
      <c r="H56" s="2">
        <v>7</v>
      </c>
      <c r="I56" s="2">
        <v>3</v>
      </c>
      <c r="J56" s="6">
        <f t="shared" si="2"/>
        <v>2100000</v>
      </c>
      <c r="K56" s="41">
        <f t="shared" si="3"/>
        <v>0.51851851851851849</v>
      </c>
    </row>
    <row r="57" spans="1:11" x14ac:dyDescent="0.2">
      <c r="A57" s="2">
        <v>1056</v>
      </c>
      <c r="B57" t="s">
        <v>42</v>
      </c>
      <c r="C57" t="s">
        <v>43</v>
      </c>
      <c r="D57" t="s">
        <v>34</v>
      </c>
      <c r="E57" s="3">
        <v>45821</v>
      </c>
      <c r="F57" s="4">
        <v>2050000</v>
      </c>
      <c r="G57" s="4">
        <v>1100000</v>
      </c>
      <c r="H57" s="2">
        <v>3</v>
      </c>
      <c r="I57" s="2">
        <v>5</v>
      </c>
      <c r="J57" s="6">
        <f t="shared" si="2"/>
        <v>950000</v>
      </c>
      <c r="K57" s="41">
        <f t="shared" si="3"/>
        <v>0.46341463414634149</v>
      </c>
    </row>
    <row r="58" spans="1:11" x14ac:dyDescent="0.2">
      <c r="A58" s="2">
        <v>1057</v>
      </c>
      <c r="B58" t="s">
        <v>11</v>
      </c>
      <c r="C58" t="s">
        <v>12</v>
      </c>
      <c r="D58" t="s">
        <v>24</v>
      </c>
      <c r="E58" s="3">
        <v>45825</v>
      </c>
      <c r="F58" s="4">
        <v>2400000</v>
      </c>
      <c r="G58" s="4">
        <v>1000000</v>
      </c>
      <c r="H58" s="2">
        <v>4</v>
      </c>
      <c r="I58" s="2">
        <v>12</v>
      </c>
      <c r="J58" s="6">
        <f t="shared" si="2"/>
        <v>1400000</v>
      </c>
      <c r="K58" s="41">
        <f t="shared" si="3"/>
        <v>0.58333333333333337</v>
      </c>
    </row>
    <row r="59" spans="1:11" x14ac:dyDescent="0.2">
      <c r="A59" s="2">
        <v>1058</v>
      </c>
      <c r="B59" t="s">
        <v>28</v>
      </c>
      <c r="C59" t="s">
        <v>29</v>
      </c>
      <c r="D59" t="s">
        <v>13</v>
      </c>
      <c r="E59" s="3">
        <v>45828</v>
      </c>
      <c r="F59" s="4">
        <v>1750000</v>
      </c>
      <c r="G59" s="4">
        <v>950000</v>
      </c>
      <c r="H59" s="2">
        <v>2</v>
      </c>
      <c r="I59" s="2">
        <v>5</v>
      </c>
      <c r="J59" s="6">
        <f t="shared" si="2"/>
        <v>800000</v>
      </c>
      <c r="K59" s="41">
        <f t="shared" si="3"/>
        <v>0.45714285714285713</v>
      </c>
    </row>
    <row r="60" spans="1:11" x14ac:dyDescent="0.2">
      <c r="A60" s="2">
        <v>1059</v>
      </c>
      <c r="B60" t="s">
        <v>5</v>
      </c>
      <c r="C60" t="s">
        <v>6</v>
      </c>
      <c r="D60" t="s">
        <v>37</v>
      </c>
      <c r="E60" s="3">
        <v>45830</v>
      </c>
      <c r="F60" s="4">
        <v>2400000</v>
      </c>
      <c r="G60" s="4">
        <v>1100000</v>
      </c>
      <c r="H60" s="2">
        <v>6</v>
      </c>
      <c r="I60" s="2">
        <v>1</v>
      </c>
      <c r="J60" s="6">
        <f t="shared" si="2"/>
        <v>1300000</v>
      </c>
      <c r="K60" s="41">
        <f t="shared" si="3"/>
        <v>0.54166666666666663</v>
      </c>
    </row>
    <row r="61" spans="1:11" x14ac:dyDescent="0.2">
      <c r="A61" s="2">
        <v>1060</v>
      </c>
      <c r="B61" t="s">
        <v>8</v>
      </c>
      <c r="C61" t="s">
        <v>9</v>
      </c>
      <c r="D61" t="s">
        <v>24</v>
      </c>
      <c r="E61" s="3">
        <v>45834</v>
      </c>
      <c r="F61" s="4">
        <v>2200000</v>
      </c>
      <c r="G61" s="4">
        <v>1000000</v>
      </c>
      <c r="H61" s="2">
        <v>3</v>
      </c>
      <c r="I61" s="2">
        <v>12</v>
      </c>
      <c r="J61" s="6">
        <f t="shared" si="2"/>
        <v>1200000</v>
      </c>
      <c r="K61" s="41">
        <f t="shared" si="3"/>
        <v>0.54545454545454541</v>
      </c>
    </row>
    <row r="62" spans="1:11" x14ac:dyDescent="0.2">
      <c r="A62" s="2">
        <v>1061</v>
      </c>
      <c r="B62" t="s">
        <v>14</v>
      </c>
      <c r="C62" t="s">
        <v>15</v>
      </c>
      <c r="D62" t="s">
        <v>37</v>
      </c>
      <c r="E62" s="3">
        <v>45837</v>
      </c>
      <c r="F62" s="4">
        <v>3700000</v>
      </c>
      <c r="G62" s="4">
        <v>2050000</v>
      </c>
      <c r="H62" s="2">
        <v>7</v>
      </c>
      <c r="I62" s="2">
        <v>2</v>
      </c>
      <c r="J62" s="6">
        <f t="shared" si="2"/>
        <v>1650000</v>
      </c>
      <c r="K62" s="41">
        <f t="shared" si="3"/>
        <v>0.44594594594594594</v>
      </c>
    </row>
    <row r="63" spans="1:11" x14ac:dyDescent="0.2">
      <c r="A63" s="2">
        <v>1062</v>
      </c>
      <c r="B63" t="s">
        <v>8</v>
      </c>
      <c r="C63" t="s">
        <v>9</v>
      </c>
      <c r="D63" t="s">
        <v>10</v>
      </c>
      <c r="E63" s="3">
        <v>45840</v>
      </c>
      <c r="F63" s="4">
        <v>3000000</v>
      </c>
      <c r="G63" s="4">
        <v>1400000</v>
      </c>
      <c r="H63" s="2">
        <v>4</v>
      </c>
      <c r="I63" s="2">
        <v>25</v>
      </c>
      <c r="J63" s="6">
        <f t="shared" si="2"/>
        <v>1600000</v>
      </c>
      <c r="K63" s="41">
        <f t="shared" si="3"/>
        <v>0.53333333333333333</v>
      </c>
    </row>
    <row r="64" spans="1:11" x14ac:dyDescent="0.2">
      <c r="A64" s="2">
        <v>1063</v>
      </c>
      <c r="B64" t="s">
        <v>27</v>
      </c>
      <c r="C64" t="s">
        <v>17</v>
      </c>
      <c r="D64" t="s">
        <v>10</v>
      </c>
      <c r="E64" s="3">
        <v>45842</v>
      </c>
      <c r="F64" s="4">
        <v>1500000</v>
      </c>
      <c r="G64" s="4">
        <v>700000</v>
      </c>
      <c r="H64" s="2">
        <v>4</v>
      </c>
      <c r="I64" s="2">
        <v>23</v>
      </c>
      <c r="J64" s="6">
        <f t="shared" si="2"/>
        <v>800000</v>
      </c>
      <c r="K64" s="41">
        <f t="shared" si="3"/>
        <v>0.53333333333333333</v>
      </c>
    </row>
    <row r="65" spans="1:11" x14ac:dyDescent="0.2">
      <c r="A65" s="2">
        <v>1064</v>
      </c>
      <c r="B65" t="s">
        <v>14</v>
      </c>
      <c r="C65" t="s">
        <v>15</v>
      </c>
      <c r="D65" t="s">
        <v>13</v>
      </c>
      <c r="E65" s="3">
        <v>45846</v>
      </c>
      <c r="F65" s="4">
        <v>1250000</v>
      </c>
      <c r="G65" s="4">
        <v>600000</v>
      </c>
      <c r="H65" s="2">
        <v>2</v>
      </c>
      <c r="I65" s="2">
        <v>5</v>
      </c>
      <c r="J65" s="6">
        <f t="shared" si="2"/>
        <v>650000</v>
      </c>
      <c r="K65" s="41">
        <f t="shared" si="3"/>
        <v>0.52</v>
      </c>
    </row>
    <row r="66" spans="1:11" x14ac:dyDescent="0.2">
      <c r="A66" s="2">
        <v>1065</v>
      </c>
      <c r="B66" t="s">
        <v>40</v>
      </c>
      <c r="C66" t="s">
        <v>15</v>
      </c>
      <c r="D66" t="s">
        <v>20</v>
      </c>
      <c r="E66" s="3">
        <v>45848</v>
      </c>
      <c r="F66" s="4">
        <v>2350000</v>
      </c>
      <c r="G66" s="4">
        <v>1200000</v>
      </c>
      <c r="H66" s="2">
        <v>3</v>
      </c>
      <c r="I66" s="2">
        <v>17</v>
      </c>
      <c r="J66" s="6">
        <f t="shared" ref="J66:J101" si="4">F66-G66</f>
        <v>1150000</v>
      </c>
      <c r="K66" s="41">
        <f t="shared" ref="K66:K101" si="5">(F66-G66)/F66</f>
        <v>0.48936170212765956</v>
      </c>
    </row>
    <row r="67" spans="1:11" x14ac:dyDescent="0.2">
      <c r="A67" s="2">
        <v>1066</v>
      </c>
      <c r="B67" t="s">
        <v>3</v>
      </c>
      <c r="C67" t="s">
        <v>4</v>
      </c>
      <c r="D67" t="s">
        <v>37</v>
      </c>
      <c r="E67" s="3">
        <v>45851</v>
      </c>
      <c r="F67" s="4">
        <v>3750000</v>
      </c>
      <c r="G67" s="4">
        <v>1800000</v>
      </c>
      <c r="H67" s="2">
        <v>6</v>
      </c>
      <c r="I67" s="2">
        <v>3</v>
      </c>
      <c r="J67" s="6">
        <f t="shared" si="4"/>
        <v>1950000</v>
      </c>
      <c r="K67" s="41">
        <f t="shared" si="5"/>
        <v>0.52</v>
      </c>
    </row>
    <row r="68" spans="1:11" x14ac:dyDescent="0.2">
      <c r="A68" s="2">
        <v>1067</v>
      </c>
      <c r="B68" t="s">
        <v>11</v>
      </c>
      <c r="C68" t="s">
        <v>12</v>
      </c>
      <c r="D68" t="s">
        <v>20</v>
      </c>
      <c r="E68" s="3">
        <v>45855</v>
      </c>
      <c r="F68" s="4">
        <v>1250000</v>
      </c>
      <c r="G68" s="4">
        <v>550000</v>
      </c>
      <c r="H68" s="2">
        <v>3</v>
      </c>
      <c r="I68" s="2">
        <v>11</v>
      </c>
      <c r="J68" s="6">
        <f t="shared" si="4"/>
        <v>700000</v>
      </c>
      <c r="K68" s="41">
        <f t="shared" si="5"/>
        <v>0.56000000000000005</v>
      </c>
    </row>
    <row r="69" spans="1:11" x14ac:dyDescent="0.2">
      <c r="A69" s="2">
        <v>1068</v>
      </c>
      <c r="B69" t="s">
        <v>38</v>
      </c>
      <c r="C69" t="s">
        <v>39</v>
      </c>
      <c r="D69" t="s">
        <v>2</v>
      </c>
      <c r="E69" s="3">
        <v>45859</v>
      </c>
      <c r="F69" s="4">
        <v>900000</v>
      </c>
      <c r="G69" s="4">
        <v>400000</v>
      </c>
      <c r="H69" s="2">
        <v>2</v>
      </c>
      <c r="I69" s="2">
        <v>1</v>
      </c>
      <c r="J69" s="6">
        <f t="shared" si="4"/>
        <v>500000</v>
      </c>
      <c r="K69" s="41">
        <f t="shared" si="5"/>
        <v>0.55555555555555558</v>
      </c>
    </row>
    <row r="70" spans="1:11" x14ac:dyDescent="0.2">
      <c r="A70" s="2">
        <v>1069</v>
      </c>
      <c r="B70" t="s">
        <v>41</v>
      </c>
      <c r="C70" t="s">
        <v>26</v>
      </c>
      <c r="D70" t="s">
        <v>7</v>
      </c>
      <c r="E70" s="3">
        <v>45861</v>
      </c>
      <c r="F70" s="4">
        <v>2050000</v>
      </c>
      <c r="G70" s="4">
        <v>1000000</v>
      </c>
      <c r="H70" s="2">
        <v>2</v>
      </c>
      <c r="I70" s="2">
        <v>29</v>
      </c>
      <c r="J70" s="6">
        <f t="shared" si="4"/>
        <v>1050000</v>
      </c>
      <c r="K70" s="41">
        <f t="shared" si="5"/>
        <v>0.51219512195121952</v>
      </c>
    </row>
    <row r="71" spans="1:11" x14ac:dyDescent="0.2">
      <c r="A71" s="2">
        <v>1070</v>
      </c>
      <c r="B71" t="s">
        <v>35</v>
      </c>
      <c r="C71" t="s">
        <v>36</v>
      </c>
      <c r="D71" t="s">
        <v>37</v>
      </c>
      <c r="E71" s="3">
        <v>45865</v>
      </c>
      <c r="F71" s="4">
        <v>3400000</v>
      </c>
      <c r="G71" s="4">
        <v>1600000</v>
      </c>
      <c r="H71" s="2">
        <v>7</v>
      </c>
      <c r="I71" s="2">
        <v>2</v>
      </c>
      <c r="J71" s="6">
        <f t="shared" si="4"/>
        <v>1800000</v>
      </c>
      <c r="K71" s="41">
        <f t="shared" si="5"/>
        <v>0.52941176470588236</v>
      </c>
    </row>
    <row r="72" spans="1:11" x14ac:dyDescent="0.2">
      <c r="A72" s="2">
        <v>1071</v>
      </c>
      <c r="B72" t="s">
        <v>25</v>
      </c>
      <c r="C72" t="s">
        <v>26</v>
      </c>
      <c r="D72" t="s">
        <v>10</v>
      </c>
      <c r="E72" s="3">
        <v>45868</v>
      </c>
      <c r="F72" s="4">
        <v>1650000</v>
      </c>
      <c r="G72" s="4">
        <v>700000</v>
      </c>
      <c r="H72" s="2">
        <v>5</v>
      </c>
      <c r="I72" s="2">
        <v>21</v>
      </c>
      <c r="J72" s="6">
        <f t="shared" si="4"/>
        <v>950000</v>
      </c>
      <c r="K72" s="41">
        <f t="shared" si="5"/>
        <v>0.5757575757575758</v>
      </c>
    </row>
    <row r="73" spans="1:11" x14ac:dyDescent="0.2">
      <c r="A73" s="2">
        <v>1072</v>
      </c>
      <c r="B73" t="s">
        <v>16</v>
      </c>
      <c r="C73" t="s">
        <v>17</v>
      </c>
      <c r="D73" t="s">
        <v>7</v>
      </c>
      <c r="E73" s="3">
        <v>45871</v>
      </c>
      <c r="F73" s="4">
        <v>2000000</v>
      </c>
      <c r="G73" s="4">
        <v>800000</v>
      </c>
      <c r="H73" s="2">
        <v>3</v>
      </c>
      <c r="I73" s="2">
        <v>16</v>
      </c>
      <c r="J73" s="6">
        <f t="shared" si="4"/>
        <v>1200000</v>
      </c>
      <c r="K73" s="41">
        <f t="shared" si="5"/>
        <v>0.6</v>
      </c>
    </row>
    <row r="74" spans="1:11" x14ac:dyDescent="0.2">
      <c r="A74" s="2">
        <v>1073</v>
      </c>
      <c r="B74" t="s">
        <v>27</v>
      </c>
      <c r="C74" t="s">
        <v>17</v>
      </c>
      <c r="D74" t="s">
        <v>24</v>
      </c>
      <c r="E74" s="3">
        <v>45873</v>
      </c>
      <c r="F74" s="4">
        <v>1950000</v>
      </c>
      <c r="G74" s="4">
        <v>950000</v>
      </c>
      <c r="H74" s="2">
        <v>4</v>
      </c>
      <c r="I74" s="2">
        <v>12</v>
      </c>
      <c r="J74" s="6">
        <f t="shared" si="4"/>
        <v>1000000</v>
      </c>
      <c r="K74" s="41">
        <f t="shared" si="5"/>
        <v>0.51282051282051277</v>
      </c>
    </row>
    <row r="75" spans="1:11" x14ac:dyDescent="0.2">
      <c r="A75" s="2">
        <v>1074</v>
      </c>
      <c r="B75" t="s">
        <v>3</v>
      </c>
      <c r="C75" t="s">
        <v>4</v>
      </c>
      <c r="D75" t="s">
        <v>7</v>
      </c>
      <c r="E75" s="3">
        <v>45877</v>
      </c>
      <c r="F75" s="4">
        <v>2900000</v>
      </c>
      <c r="G75" s="4">
        <v>1250000</v>
      </c>
      <c r="H75" s="2">
        <v>3</v>
      </c>
      <c r="I75" s="2">
        <v>20</v>
      </c>
      <c r="J75" s="6">
        <f t="shared" si="4"/>
        <v>1650000</v>
      </c>
      <c r="K75" s="41">
        <f t="shared" si="5"/>
        <v>0.56896551724137934</v>
      </c>
    </row>
    <row r="76" spans="1:11" x14ac:dyDescent="0.2">
      <c r="A76" s="2">
        <v>1075</v>
      </c>
      <c r="B76" t="s">
        <v>25</v>
      </c>
      <c r="C76" t="s">
        <v>26</v>
      </c>
      <c r="D76" t="s">
        <v>24</v>
      </c>
      <c r="E76" s="3">
        <v>45880</v>
      </c>
      <c r="F76" s="4">
        <v>2400000</v>
      </c>
      <c r="G76" s="4">
        <v>1200000</v>
      </c>
      <c r="H76" s="2">
        <v>4</v>
      </c>
      <c r="I76" s="2">
        <v>14</v>
      </c>
      <c r="J76" s="6">
        <f t="shared" si="4"/>
        <v>1200000</v>
      </c>
      <c r="K76" s="41">
        <f t="shared" si="5"/>
        <v>0.5</v>
      </c>
    </row>
    <row r="77" spans="1:11" x14ac:dyDescent="0.2">
      <c r="A77" s="2">
        <v>1076</v>
      </c>
      <c r="B77" t="s">
        <v>38</v>
      </c>
      <c r="C77" t="s">
        <v>39</v>
      </c>
      <c r="D77" t="s">
        <v>7</v>
      </c>
      <c r="E77" s="3">
        <v>45883</v>
      </c>
      <c r="F77" s="4">
        <v>2700000</v>
      </c>
      <c r="G77" s="4">
        <v>1050000</v>
      </c>
      <c r="H77" s="2">
        <v>3</v>
      </c>
      <c r="I77" s="2">
        <v>22</v>
      </c>
      <c r="J77" s="6">
        <f t="shared" si="4"/>
        <v>1650000</v>
      </c>
      <c r="K77" s="41">
        <f t="shared" si="5"/>
        <v>0.61111111111111116</v>
      </c>
    </row>
    <row r="78" spans="1:11" x14ac:dyDescent="0.2">
      <c r="A78" s="2">
        <v>1077</v>
      </c>
      <c r="B78" t="s">
        <v>18</v>
      </c>
      <c r="C78" t="s">
        <v>19</v>
      </c>
      <c r="D78" t="s">
        <v>37</v>
      </c>
      <c r="E78" s="3">
        <v>45886</v>
      </c>
      <c r="F78" s="4">
        <v>2600000</v>
      </c>
      <c r="G78" s="4">
        <v>1450000</v>
      </c>
      <c r="H78" s="2">
        <v>5</v>
      </c>
      <c r="I78" s="2">
        <v>1</v>
      </c>
      <c r="J78" s="6">
        <f t="shared" si="4"/>
        <v>1150000</v>
      </c>
      <c r="K78" s="41">
        <f t="shared" si="5"/>
        <v>0.44230769230769229</v>
      </c>
    </row>
    <row r="79" spans="1:11" x14ac:dyDescent="0.2">
      <c r="A79" s="2">
        <v>1078</v>
      </c>
      <c r="B79" t="s">
        <v>32</v>
      </c>
      <c r="C79" t="s">
        <v>33</v>
      </c>
      <c r="D79" t="s">
        <v>13</v>
      </c>
      <c r="E79" s="3">
        <v>45888</v>
      </c>
      <c r="F79" s="4">
        <v>1400000</v>
      </c>
      <c r="G79" s="4">
        <v>700000</v>
      </c>
      <c r="H79" s="2">
        <v>2</v>
      </c>
      <c r="I79" s="2">
        <v>4</v>
      </c>
      <c r="J79" s="6">
        <f t="shared" si="4"/>
        <v>700000</v>
      </c>
      <c r="K79" s="41">
        <f t="shared" si="5"/>
        <v>0.5</v>
      </c>
    </row>
    <row r="80" spans="1:11" x14ac:dyDescent="0.2">
      <c r="A80" s="2">
        <v>1079</v>
      </c>
      <c r="B80" t="s">
        <v>35</v>
      </c>
      <c r="C80" t="s">
        <v>36</v>
      </c>
      <c r="D80" t="s">
        <v>20</v>
      </c>
      <c r="E80" s="3">
        <v>45891</v>
      </c>
      <c r="F80" s="4">
        <v>2050000</v>
      </c>
      <c r="G80" s="4">
        <v>1000000</v>
      </c>
      <c r="H80" s="2">
        <v>3</v>
      </c>
      <c r="I80" s="2">
        <v>10</v>
      </c>
      <c r="J80" s="6">
        <f t="shared" si="4"/>
        <v>1050000</v>
      </c>
      <c r="K80" s="41">
        <f t="shared" si="5"/>
        <v>0.51219512195121952</v>
      </c>
    </row>
    <row r="81" spans="1:11" x14ac:dyDescent="0.2">
      <c r="A81" s="2">
        <v>1080</v>
      </c>
      <c r="B81" t="s">
        <v>0</v>
      </c>
      <c r="C81" t="s">
        <v>1</v>
      </c>
      <c r="D81" t="s">
        <v>20</v>
      </c>
      <c r="E81" s="3">
        <v>45894</v>
      </c>
      <c r="F81" s="4">
        <v>2200000</v>
      </c>
      <c r="G81" s="4">
        <v>1150000</v>
      </c>
      <c r="H81" s="2">
        <v>2</v>
      </c>
      <c r="I81" s="2">
        <v>19</v>
      </c>
      <c r="J81" s="6">
        <f t="shared" si="4"/>
        <v>1050000</v>
      </c>
      <c r="K81" s="41">
        <f t="shared" si="5"/>
        <v>0.47727272727272729</v>
      </c>
    </row>
    <row r="82" spans="1:11" x14ac:dyDescent="0.2">
      <c r="A82" s="2">
        <v>1081</v>
      </c>
      <c r="B82" t="s">
        <v>42</v>
      </c>
      <c r="C82" t="s">
        <v>43</v>
      </c>
      <c r="D82" t="s">
        <v>13</v>
      </c>
      <c r="E82" s="3">
        <v>45897</v>
      </c>
      <c r="F82" s="4">
        <v>800000</v>
      </c>
      <c r="G82" s="4">
        <v>450000</v>
      </c>
      <c r="H82" s="2">
        <v>3</v>
      </c>
      <c r="I82" s="2">
        <v>5</v>
      </c>
      <c r="J82" s="6">
        <f t="shared" si="4"/>
        <v>350000</v>
      </c>
      <c r="K82" s="41">
        <f t="shared" si="5"/>
        <v>0.4375</v>
      </c>
    </row>
    <row r="83" spans="1:11" x14ac:dyDescent="0.2">
      <c r="A83" s="2">
        <v>1082</v>
      </c>
      <c r="B83" t="s">
        <v>35</v>
      </c>
      <c r="C83" t="s">
        <v>36</v>
      </c>
      <c r="D83" t="s">
        <v>34</v>
      </c>
      <c r="E83" s="3">
        <v>45901</v>
      </c>
      <c r="F83" s="4">
        <v>1700000</v>
      </c>
      <c r="G83" s="4">
        <v>800000</v>
      </c>
      <c r="H83" s="2">
        <v>4</v>
      </c>
      <c r="I83" s="2">
        <v>6</v>
      </c>
      <c r="J83" s="6">
        <f t="shared" si="4"/>
        <v>900000</v>
      </c>
      <c r="K83" s="41">
        <f t="shared" si="5"/>
        <v>0.52941176470588236</v>
      </c>
    </row>
    <row r="84" spans="1:11" x14ac:dyDescent="0.2">
      <c r="A84" s="2">
        <v>1083</v>
      </c>
      <c r="B84" t="s">
        <v>25</v>
      </c>
      <c r="C84" t="s">
        <v>26</v>
      </c>
      <c r="D84" t="s">
        <v>37</v>
      </c>
      <c r="E84" s="3">
        <v>45903</v>
      </c>
      <c r="F84" s="4">
        <v>2800000</v>
      </c>
      <c r="G84" s="4">
        <v>1400000</v>
      </c>
      <c r="H84" s="2">
        <v>7</v>
      </c>
      <c r="I84" s="2">
        <v>2</v>
      </c>
      <c r="J84" s="6">
        <f t="shared" si="4"/>
        <v>1400000</v>
      </c>
      <c r="K84" s="41">
        <f t="shared" si="5"/>
        <v>0.5</v>
      </c>
    </row>
    <row r="85" spans="1:11" x14ac:dyDescent="0.2">
      <c r="A85" s="2">
        <v>1084</v>
      </c>
      <c r="B85" t="s">
        <v>11</v>
      </c>
      <c r="C85" t="s">
        <v>12</v>
      </c>
      <c r="D85" t="s">
        <v>7</v>
      </c>
      <c r="E85" s="3">
        <v>45906</v>
      </c>
      <c r="F85" s="4">
        <v>1700000</v>
      </c>
      <c r="G85" s="4">
        <v>850000</v>
      </c>
      <c r="H85" s="2">
        <v>2</v>
      </c>
      <c r="I85" s="2">
        <v>27</v>
      </c>
      <c r="J85" s="6">
        <f t="shared" si="4"/>
        <v>850000</v>
      </c>
      <c r="K85" s="41">
        <f t="shared" si="5"/>
        <v>0.5</v>
      </c>
    </row>
    <row r="86" spans="1:11" x14ac:dyDescent="0.2">
      <c r="A86" s="2">
        <v>1085</v>
      </c>
      <c r="B86" t="s">
        <v>5</v>
      </c>
      <c r="C86" t="s">
        <v>6</v>
      </c>
      <c r="D86" t="s">
        <v>7</v>
      </c>
      <c r="E86" s="3">
        <v>45910</v>
      </c>
      <c r="F86" s="4">
        <v>1350000</v>
      </c>
      <c r="G86" s="4">
        <v>550000</v>
      </c>
      <c r="H86" s="2">
        <v>3</v>
      </c>
      <c r="I86" s="2">
        <v>19</v>
      </c>
      <c r="J86" s="6">
        <f t="shared" si="4"/>
        <v>800000</v>
      </c>
      <c r="K86" s="41">
        <f t="shared" si="5"/>
        <v>0.59259259259259256</v>
      </c>
    </row>
    <row r="87" spans="1:11" x14ac:dyDescent="0.2">
      <c r="A87" s="2">
        <v>1086</v>
      </c>
      <c r="B87" t="s">
        <v>3</v>
      </c>
      <c r="C87" t="s">
        <v>4</v>
      </c>
      <c r="D87" t="s">
        <v>10</v>
      </c>
      <c r="E87" s="3">
        <v>45912</v>
      </c>
      <c r="F87" s="4">
        <v>1050000</v>
      </c>
      <c r="G87" s="4">
        <v>500000</v>
      </c>
      <c r="H87" s="2">
        <v>4</v>
      </c>
      <c r="I87" s="2">
        <v>24</v>
      </c>
      <c r="J87" s="6">
        <f t="shared" si="4"/>
        <v>550000</v>
      </c>
      <c r="K87" s="41">
        <f t="shared" si="5"/>
        <v>0.52380952380952384</v>
      </c>
    </row>
    <row r="88" spans="1:11" x14ac:dyDescent="0.2">
      <c r="A88" s="2">
        <v>1087</v>
      </c>
      <c r="B88" t="s">
        <v>3</v>
      </c>
      <c r="C88" t="s">
        <v>4</v>
      </c>
      <c r="D88" t="s">
        <v>24</v>
      </c>
      <c r="E88" s="3">
        <v>45915</v>
      </c>
      <c r="F88" s="4">
        <v>2650000</v>
      </c>
      <c r="G88" s="4">
        <v>1350000</v>
      </c>
      <c r="H88" s="2">
        <v>4</v>
      </c>
      <c r="I88" s="2">
        <v>11</v>
      </c>
      <c r="J88" s="6">
        <f t="shared" si="4"/>
        <v>1300000</v>
      </c>
      <c r="K88" s="41">
        <f t="shared" si="5"/>
        <v>0.49056603773584906</v>
      </c>
    </row>
    <row r="89" spans="1:11" x14ac:dyDescent="0.2">
      <c r="A89" s="2">
        <v>1088</v>
      </c>
      <c r="B89" t="s">
        <v>35</v>
      </c>
      <c r="C89" t="s">
        <v>36</v>
      </c>
      <c r="D89" t="s">
        <v>13</v>
      </c>
      <c r="E89" s="3">
        <v>45918</v>
      </c>
      <c r="F89" s="4">
        <v>900000</v>
      </c>
      <c r="G89" s="4">
        <v>450000</v>
      </c>
      <c r="H89" s="2">
        <v>2</v>
      </c>
      <c r="I89" s="2">
        <v>5</v>
      </c>
      <c r="J89" s="6">
        <f t="shared" si="4"/>
        <v>450000</v>
      </c>
      <c r="K89" s="41">
        <f t="shared" si="5"/>
        <v>0.5</v>
      </c>
    </row>
    <row r="90" spans="1:11" x14ac:dyDescent="0.2">
      <c r="A90" s="2">
        <v>1089</v>
      </c>
      <c r="B90" t="s">
        <v>38</v>
      </c>
      <c r="C90" t="s">
        <v>39</v>
      </c>
      <c r="D90" t="s">
        <v>10</v>
      </c>
      <c r="E90" s="3">
        <v>45922</v>
      </c>
      <c r="F90" s="4">
        <v>1100000</v>
      </c>
      <c r="G90" s="4">
        <v>550000</v>
      </c>
      <c r="H90" s="2">
        <v>5</v>
      </c>
      <c r="I90" s="2">
        <v>21</v>
      </c>
      <c r="J90" s="6">
        <f t="shared" si="4"/>
        <v>550000</v>
      </c>
      <c r="K90" s="41">
        <f t="shared" si="5"/>
        <v>0.5</v>
      </c>
    </row>
    <row r="91" spans="1:11" x14ac:dyDescent="0.2">
      <c r="A91" s="2">
        <v>1090</v>
      </c>
      <c r="B91" t="s">
        <v>41</v>
      </c>
      <c r="C91" t="s">
        <v>26</v>
      </c>
      <c r="D91" t="s">
        <v>13</v>
      </c>
      <c r="E91" s="3">
        <v>45924</v>
      </c>
      <c r="F91" s="4">
        <v>1100000</v>
      </c>
      <c r="G91" s="4">
        <v>550000</v>
      </c>
      <c r="H91" s="2">
        <v>2</v>
      </c>
      <c r="I91" s="2">
        <v>4</v>
      </c>
      <c r="J91" s="6">
        <f t="shared" si="4"/>
        <v>550000</v>
      </c>
      <c r="K91" s="41">
        <f t="shared" si="5"/>
        <v>0.5</v>
      </c>
    </row>
    <row r="92" spans="1:11" x14ac:dyDescent="0.2">
      <c r="A92" s="2">
        <v>1091</v>
      </c>
      <c r="B92" t="s">
        <v>32</v>
      </c>
      <c r="C92" t="s">
        <v>33</v>
      </c>
      <c r="D92" t="s">
        <v>20</v>
      </c>
      <c r="E92" s="3">
        <v>45927</v>
      </c>
      <c r="F92" s="4">
        <v>1350000</v>
      </c>
      <c r="G92" s="4">
        <v>650000</v>
      </c>
      <c r="H92" s="2">
        <v>2</v>
      </c>
      <c r="I92" s="2">
        <v>17</v>
      </c>
      <c r="J92" s="6">
        <f t="shared" si="4"/>
        <v>700000</v>
      </c>
      <c r="K92" s="41">
        <f t="shared" si="5"/>
        <v>0.51851851851851849</v>
      </c>
    </row>
    <row r="93" spans="1:11" x14ac:dyDescent="0.2">
      <c r="A93" s="2">
        <v>1092</v>
      </c>
      <c r="B93" t="s">
        <v>18</v>
      </c>
      <c r="C93" t="s">
        <v>19</v>
      </c>
      <c r="D93" t="s">
        <v>10</v>
      </c>
      <c r="E93" s="3">
        <v>45930</v>
      </c>
      <c r="F93" s="4">
        <v>1400000</v>
      </c>
      <c r="G93" s="4">
        <v>700000</v>
      </c>
      <c r="H93" s="2">
        <v>5</v>
      </c>
      <c r="I93" s="2">
        <v>22</v>
      </c>
      <c r="J93" s="6">
        <f t="shared" si="4"/>
        <v>700000</v>
      </c>
      <c r="K93" s="41">
        <f t="shared" si="5"/>
        <v>0.5</v>
      </c>
    </row>
    <row r="94" spans="1:11" x14ac:dyDescent="0.2">
      <c r="A94" s="2">
        <v>1093</v>
      </c>
      <c r="B94" t="s">
        <v>11</v>
      </c>
      <c r="C94" t="s">
        <v>12</v>
      </c>
      <c r="D94" t="s">
        <v>37</v>
      </c>
      <c r="E94" s="3">
        <v>45933</v>
      </c>
      <c r="F94" s="4">
        <v>1900000</v>
      </c>
      <c r="G94" s="4">
        <v>1000000</v>
      </c>
      <c r="H94" s="2">
        <v>6</v>
      </c>
      <c r="I94" s="2">
        <v>3</v>
      </c>
      <c r="J94" s="6">
        <f t="shared" si="4"/>
        <v>900000</v>
      </c>
      <c r="K94" s="41">
        <f t="shared" si="5"/>
        <v>0.47368421052631576</v>
      </c>
    </row>
    <row r="95" spans="1:11" x14ac:dyDescent="0.2">
      <c r="A95" s="2">
        <v>1094</v>
      </c>
      <c r="B95" t="s">
        <v>42</v>
      </c>
      <c r="C95" t="s">
        <v>43</v>
      </c>
      <c r="D95" t="s">
        <v>34</v>
      </c>
      <c r="E95" s="3">
        <v>45936</v>
      </c>
      <c r="F95" s="4">
        <v>1600000</v>
      </c>
      <c r="G95" s="4">
        <v>700000</v>
      </c>
      <c r="H95" s="2">
        <v>3</v>
      </c>
      <c r="I95" s="2">
        <v>3</v>
      </c>
      <c r="J95" s="6">
        <f t="shared" si="4"/>
        <v>900000</v>
      </c>
      <c r="K95" s="41">
        <f t="shared" si="5"/>
        <v>0.5625</v>
      </c>
    </row>
    <row r="96" spans="1:11" x14ac:dyDescent="0.2">
      <c r="A96" s="2">
        <v>1095</v>
      </c>
      <c r="B96" t="s">
        <v>40</v>
      </c>
      <c r="C96" t="s">
        <v>15</v>
      </c>
      <c r="D96" t="s">
        <v>34</v>
      </c>
      <c r="E96" s="3">
        <v>45940</v>
      </c>
      <c r="F96" s="4">
        <v>1350000</v>
      </c>
      <c r="G96" s="4">
        <v>700000</v>
      </c>
      <c r="H96" s="2">
        <v>3</v>
      </c>
      <c r="I96" s="2">
        <v>5</v>
      </c>
      <c r="J96" s="6">
        <f t="shared" si="4"/>
        <v>650000</v>
      </c>
      <c r="K96" s="41">
        <f t="shared" si="5"/>
        <v>0.48148148148148145</v>
      </c>
    </row>
    <row r="97" spans="1:11" x14ac:dyDescent="0.2">
      <c r="A97" s="2">
        <v>1096</v>
      </c>
      <c r="B97" t="s">
        <v>27</v>
      </c>
      <c r="C97" t="s">
        <v>17</v>
      </c>
      <c r="D97" t="s">
        <v>34</v>
      </c>
      <c r="E97" s="3">
        <v>45943</v>
      </c>
      <c r="F97" s="4">
        <v>2150000</v>
      </c>
      <c r="G97" s="4">
        <v>900000</v>
      </c>
      <c r="H97" s="2">
        <v>4</v>
      </c>
      <c r="I97" s="2">
        <v>3</v>
      </c>
      <c r="J97" s="6">
        <f t="shared" si="4"/>
        <v>1250000</v>
      </c>
      <c r="K97" s="41">
        <f t="shared" si="5"/>
        <v>0.58139534883720934</v>
      </c>
    </row>
    <row r="98" spans="1:11" x14ac:dyDescent="0.2">
      <c r="A98" s="2">
        <v>1097</v>
      </c>
      <c r="B98" t="s">
        <v>35</v>
      </c>
      <c r="C98" t="s">
        <v>36</v>
      </c>
      <c r="D98" t="s">
        <v>7</v>
      </c>
      <c r="E98" s="3">
        <v>45946</v>
      </c>
      <c r="F98" s="4">
        <v>1600000</v>
      </c>
      <c r="G98" s="4">
        <v>700000</v>
      </c>
      <c r="H98" s="2">
        <v>3</v>
      </c>
      <c r="I98" s="2">
        <v>29</v>
      </c>
      <c r="J98" s="6">
        <f t="shared" si="4"/>
        <v>900000</v>
      </c>
      <c r="K98" s="41">
        <f t="shared" si="5"/>
        <v>0.5625</v>
      </c>
    </row>
    <row r="99" spans="1:11" x14ac:dyDescent="0.2">
      <c r="A99" s="2">
        <v>1098</v>
      </c>
      <c r="B99" t="s">
        <v>32</v>
      </c>
      <c r="C99" t="s">
        <v>33</v>
      </c>
      <c r="D99" t="s">
        <v>10</v>
      </c>
      <c r="E99" s="3">
        <v>45949</v>
      </c>
      <c r="F99" s="4">
        <v>1450000</v>
      </c>
      <c r="G99" s="4">
        <v>750000</v>
      </c>
      <c r="H99" s="2">
        <v>5</v>
      </c>
      <c r="I99" s="2">
        <v>25</v>
      </c>
      <c r="J99" s="6">
        <f t="shared" si="4"/>
        <v>700000</v>
      </c>
      <c r="K99" s="41">
        <f t="shared" si="5"/>
        <v>0.48275862068965519</v>
      </c>
    </row>
    <row r="100" spans="1:11" x14ac:dyDescent="0.2">
      <c r="A100" s="2">
        <v>1099</v>
      </c>
      <c r="B100" t="s">
        <v>14</v>
      </c>
      <c r="C100" t="s">
        <v>15</v>
      </c>
      <c r="D100" t="s">
        <v>10</v>
      </c>
      <c r="E100" s="3">
        <v>45953</v>
      </c>
      <c r="F100" s="4">
        <v>3350000</v>
      </c>
      <c r="G100" s="4">
        <v>1600000</v>
      </c>
      <c r="H100" s="2">
        <v>4</v>
      </c>
      <c r="I100" s="2">
        <v>30</v>
      </c>
      <c r="J100" s="6">
        <f t="shared" si="4"/>
        <v>1750000</v>
      </c>
      <c r="K100" s="41">
        <f t="shared" si="5"/>
        <v>0.52238805970149249</v>
      </c>
    </row>
    <row r="101" spans="1:11" x14ac:dyDescent="0.2">
      <c r="A101" s="2">
        <v>1100</v>
      </c>
      <c r="B101" t="s">
        <v>18</v>
      </c>
      <c r="C101" t="s">
        <v>19</v>
      </c>
      <c r="D101" t="s">
        <v>20</v>
      </c>
      <c r="E101" s="3">
        <v>45956</v>
      </c>
      <c r="F101" s="4">
        <v>1750000</v>
      </c>
      <c r="G101" s="4">
        <v>900000</v>
      </c>
      <c r="H101" s="2">
        <v>2</v>
      </c>
      <c r="I101" s="2">
        <v>14</v>
      </c>
      <c r="J101" s="6">
        <f t="shared" si="4"/>
        <v>850000</v>
      </c>
      <c r="K101" s="41">
        <f t="shared" si="5"/>
        <v>0.48571428571428571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4BE06-CE12-904F-A6C6-92D2B9E6ACA4}">
  <dimension ref="A1:R144"/>
  <sheetViews>
    <sheetView showGridLines="0" topLeftCell="E44" zoomScale="75" zoomScaleNormal="75" workbookViewId="0">
      <selection activeCell="L56" sqref="L56"/>
    </sheetView>
  </sheetViews>
  <sheetFormatPr baseColWidth="10" defaultRowHeight="15" x14ac:dyDescent="0.2"/>
  <cols>
    <col min="1" max="1" width="24" bestFit="1" customWidth="1"/>
    <col min="2" max="2" width="27.1640625" customWidth="1"/>
    <col min="11" max="11" width="4.83203125" style="11" customWidth="1"/>
    <col min="12" max="12" width="190.1640625" customWidth="1"/>
    <col min="17" max="17" width="10.83203125" customWidth="1"/>
  </cols>
  <sheetData>
    <row r="1" spans="1:18" s="65" customFormat="1" ht="47" x14ac:dyDescent="0.55000000000000004">
      <c r="A1" s="74" t="s">
        <v>133</v>
      </c>
      <c r="B1" s="74"/>
      <c r="C1" s="74"/>
      <c r="D1" s="74"/>
      <c r="E1" s="74"/>
      <c r="F1" s="74"/>
      <c r="G1" s="74"/>
      <c r="H1" s="74"/>
      <c r="I1" s="74"/>
      <c r="J1" s="74"/>
      <c r="K1" s="74"/>
    </row>
    <row r="2" spans="1:18" s="22" customFormat="1" x14ac:dyDescent="0.2">
      <c r="A2" s="75" t="s">
        <v>143</v>
      </c>
      <c r="B2" s="75"/>
      <c r="C2" s="75"/>
      <c r="D2" s="75"/>
      <c r="E2" s="75"/>
      <c r="K2" s="36"/>
    </row>
    <row r="3" spans="1:18" x14ac:dyDescent="0.2">
      <c r="A3" s="7"/>
      <c r="B3" s="7"/>
      <c r="C3" s="7"/>
      <c r="D3" s="7"/>
      <c r="E3" s="7"/>
    </row>
    <row r="4" spans="1:18" s="63" customFormat="1" ht="30" x14ac:dyDescent="0.3">
      <c r="A4" s="62" t="s">
        <v>134</v>
      </c>
      <c r="B4" s="79"/>
      <c r="C4" s="79"/>
      <c r="D4" s="79"/>
      <c r="E4" s="79"/>
      <c r="K4" s="64"/>
    </row>
    <row r="5" spans="1:18" s="22" customFormat="1" x14ac:dyDescent="0.2">
      <c r="A5" s="24" t="s">
        <v>135</v>
      </c>
      <c r="B5" s="80">
        <v>198400000</v>
      </c>
      <c r="C5" s="80"/>
      <c r="D5" s="80"/>
      <c r="E5" s="80"/>
      <c r="K5" s="36"/>
    </row>
    <row r="6" spans="1:18" s="13" customFormat="1" x14ac:dyDescent="0.2">
      <c r="A6" s="38" t="s">
        <v>136</v>
      </c>
      <c r="B6" s="81">
        <v>102550000</v>
      </c>
      <c r="C6" s="81"/>
      <c r="D6" s="81"/>
      <c r="E6" s="81"/>
      <c r="K6" s="39"/>
    </row>
    <row r="7" spans="1:18" s="22" customFormat="1" x14ac:dyDescent="0.2">
      <c r="A7" s="24" t="s">
        <v>137</v>
      </c>
      <c r="B7" s="72">
        <v>100</v>
      </c>
      <c r="C7" s="72"/>
      <c r="D7" s="72"/>
      <c r="E7" s="72"/>
      <c r="K7" s="36"/>
    </row>
    <row r="8" spans="1:18" s="13" customFormat="1" x14ac:dyDescent="0.2">
      <c r="A8" s="38" t="s">
        <v>138</v>
      </c>
      <c r="B8" s="73" t="s">
        <v>139</v>
      </c>
      <c r="C8" s="73"/>
      <c r="D8" s="73"/>
      <c r="E8" s="73"/>
      <c r="K8" s="39"/>
    </row>
    <row r="9" spans="1:18" s="22" customFormat="1" x14ac:dyDescent="0.2">
      <c r="A9" s="24" t="s">
        <v>140</v>
      </c>
      <c r="B9" s="72" t="s">
        <v>15</v>
      </c>
      <c r="C9" s="72"/>
      <c r="D9" s="72"/>
      <c r="E9" s="72"/>
      <c r="K9" s="36"/>
    </row>
    <row r="10" spans="1:18" s="13" customFormat="1" x14ac:dyDescent="0.2">
      <c r="A10" s="38" t="s">
        <v>141</v>
      </c>
      <c r="B10" s="73" t="s">
        <v>142</v>
      </c>
      <c r="C10" s="73"/>
      <c r="D10" s="73"/>
      <c r="E10" s="73"/>
      <c r="K10" s="39"/>
    </row>
    <row r="13" spans="1:18" s="61" customFormat="1" ht="30" x14ac:dyDescent="0.3">
      <c r="A13" s="70" t="s">
        <v>129</v>
      </c>
      <c r="B13" s="70"/>
      <c r="C13" s="70"/>
      <c r="D13" s="70"/>
      <c r="E13" s="70"/>
      <c r="F13" s="70"/>
      <c r="G13" s="70"/>
      <c r="H13" s="70"/>
      <c r="I13" s="70"/>
      <c r="J13" s="70"/>
      <c r="K13" s="70"/>
      <c r="L13" s="70"/>
      <c r="M13" s="70"/>
      <c r="N13" s="70"/>
      <c r="O13" s="70"/>
      <c r="P13" s="70"/>
      <c r="Q13" s="70"/>
    </row>
    <row r="14" spans="1:18" s="18" customFormat="1" ht="17" customHeight="1" x14ac:dyDescent="0.2">
      <c r="A14" s="17" t="s">
        <v>74</v>
      </c>
      <c r="B14" s="35" t="s">
        <v>76</v>
      </c>
      <c r="K14" s="19" t="s">
        <v>105</v>
      </c>
      <c r="L14" s="89" t="s">
        <v>131</v>
      </c>
      <c r="M14" s="90"/>
      <c r="N14" s="90"/>
      <c r="O14" s="90"/>
      <c r="P14" s="90"/>
      <c r="Q14" s="90"/>
      <c r="R14" s="27"/>
    </row>
    <row r="15" spans="1:18" x14ac:dyDescent="0.2">
      <c r="A15" s="21" t="s">
        <v>20</v>
      </c>
      <c r="B15" s="34">
        <v>22300000</v>
      </c>
      <c r="K15" s="29">
        <v>1</v>
      </c>
      <c r="L15" s="68" t="s">
        <v>106</v>
      </c>
      <c r="M15" s="69"/>
      <c r="N15" s="69"/>
      <c r="O15" s="69"/>
      <c r="P15" s="69"/>
      <c r="Q15" s="69"/>
      <c r="R15" s="13"/>
    </row>
    <row r="16" spans="1:18" x14ac:dyDescent="0.2">
      <c r="A16" s="21" t="s">
        <v>37</v>
      </c>
      <c r="B16" s="34">
        <v>37000000</v>
      </c>
      <c r="K16" s="30">
        <v>2</v>
      </c>
      <c r="L16" s="86" t="s">
        <v>107</v>
      </c>
      <c r="M16" s="87"/>
      <c r="N16" s="87"/>
      <c r="O16" s="87"/>
      <c r="P16" s="87"/>
      <c r="Q16" s="87"/>
    </row>
    <row r="17" spans="1:18" x14ac:dyDescent="0.2">
      <c r="A17" s="21" t="s">
        <v>10</v>
      </c>
      <c r="B17" s="34">
        <v>35800000</v>
      </c>
      <c r="K17" s="31">
        <v>3</v>
      </c>
      <c r="L17" s="68" t="s">
        <v>108</v>
      </c>
      <c r="M17" s="69"/>
      <c r="N17" s="69"/>
      <c r="O17" s="69"/>
      <c r="P17" s="69"/>
      <c r="Q17" s="69"/>
      <c r="R17" s="13"/>
    </row>
    <row r="18" spans="1:18" x14ac:dyDescent="0.2">
      <c r="A18" s="21" t="s">
        <v>2</v>
      </c>
      <c r="B18" s="34">
        <v>9150000</v>
      </c>
    </row>
    <row r="19" spans="1:18" x14ac:dyDescent="0.2">
      <c r="A19" s="21" t="s">
        <v>24</v>
      </c>
      <c r="B19" s="34">
        <v>27150000</v>
      </c>
    </row>
    <row r="20" spans="1:18" x14ac:dyDescent="0.2">
      <c r="A20" s="21" t="s">
        <v>13</v>
      </c>
      <c r="B20" s="34">
        <v>16550000</v>
      </c>
    </row>
    <row r="21" spans="1:18" x14ac:dyDescent="0.2">
      <c r="A21" s="21" t="s">
        <v>7</v>
      </c>
      <c r="B21" s="34">
        <v>27400000</v>
      </c>
    </row>
    <row r="22" spans="1:18" x14ac:dyDescent="0.2">
      <c r="A22" s="21" t="s">
        <v>34</v>
      </c>
      <c r="B22" s="34">
        <v>23050000</v>
      </c>
    </row>
    <row r="23" spans="1:18" x14ac:dyDescent="0.2">
      <c r="A23" s="21" t="s">
        <v>75</v>
      </c>
      <c r="B23" s="34">
        <v>198400000</v>
      </c>
    </row>
    <row r="24" spans="1:18" x14ac:dyDescent="0.2">
      <c r="A24" s="22"/>
      <c r="B24" s="22"/>
    </row>
    <row r="25" spans="1:18" x14ac:dyDescent="0.2">
      <c r="A25" s="22"/>
      <c r="B25" s="22"/>
    </row>
    <row r="26" spans="1:18" x14ac:dyDescent="0.2">
      <c r="A26" s="22"/>
      <c r="B26" s="22"/>
    </row>
    <row r="27" spans="1:18" x14ac:dyDescent="0.2">
      <c r="A27" s="22"/>
      <c r="B27" s="22"/>
    </row>
    <row r="28" spans="1:18" x14ac:dyDescent="0.2">
      <c r="A28" s="22"/>
      <c r="B28" s="22"/>
    </row>
    <row r="29" spans="1:18" x14ac:dyDescent="0.2">
      <c r="A29" s="22"/>
      <c r="B29" s="22"/>
    </row>
    <row r="30" spans="1:18" x14ac:dyDescent="0.2">
      <c r="A30" s="22"/>
      <c r="B30" s="22"/>
    </row>
    <row r="31" spans="1:18" s="61" customFormat="1" ht="30" x14ac:dyDescent="0.3">
      <c r="A31" s="70" t="s">
        <v>128</v>
      </c>
      <c r="B31" s="70"/>
      <c r="C31" s="70"/>
      <c r="D31" s="70"/>
      <c r="E31" s="70"/>
      <c r="F31" s="70"/>
      <c r="G31" s="70"/>
      <c r="H31" s="70"/>
      <c r="I31" s="70"/>
      <c r="J31" s="70"/>
      <c r="K31" s="70"/>
      <c r="L31" s="70"/>
      <c r="M31" s="70"/>
      <c r="N31" s="70"/>
      <c r="O31" s="70"/>
      <c r="P31" s="70"/>
      <c r="Q31" s="70"/>
    </row>
    <row r="32" spans="1:18" s="14" customFormat="1" ht="18" x14ac:dyDescent="0.2">
      <c r="A32" s="17" t="s">
        <v>74</v>
      </c>
      <c r="B32" s="35" t="s">
        <v>77</v>
      </c>
      <c r="K32" s="19" t="s">
        <v>105</v>
      </c>
      <c r="L32" s="20" t="s">
        <v>131</v>
      </c>
      <c r="M32" s="15"/>
      <c r="N32" s="71"/>
      <c r="O32" s="71"/>
      <c r="P32" s="71"/>
      <c r="Q32" s="71"/>
      <c r="R32" s="26"/>
    </row>
    <row r="33" spans="1:18" x14ac:dyDescent="0.2">
      <c r="A33" s="21" t="s">
        <v>20</v>
      </c>
      <c r="B33" s="34">
        <v>11300000</v>
      </c>
      <c r="K33" s="29">
        <v>1</v>
      </c>
      <c r="L33" s="68" t="s">
        <v>109</v>
      </c>
      <c r="M33" s="69"/>
      <c r="N33" s="69"/>
      <c r="O33" s="69"/>
      <c r="P33" s="69"/>
      <c r="Q33" s="69"/>
      <c r="R33" s="13"/>
    </row>
    <row r="34" spans="1:18" x14ac:dyDescent="0.2">
      <c r="A34" s="21" t="s">
        <v>37</v>
      </c>
      <c r="B34" s="34">
        <v>18300000</v>
      </c>
      <c r="K34" s="30">
        <v>2</v>
      </c>
      <c r="L34" s="86" t="s">
        <v>110</v>
      </c>
      <c r="M34" s="87"/>
      <c r="N34" s="87"/>
      <c r="O34" s="87"/>
      <c r="P34" s="87"/>
      <c r="Q34" s="87"/>
    </row>
    <row r="35" spans="1:18" x14ac:dyDescent="0.2">
      <c r="A35" s="21" t="s">
        <v>10</v>
      </c>
      <c r="B35" s="34">
        <v>18300000</v>
      </c>
      <c r="K35" s="31">
        <v>3</v>
      </c>
      <c r="L35" s="68" t="s">
        <v>111</v>
      </c>
      <c r="M35" s="69"/>
      <c r="N35" s="69"/>
      <c r="O35" s="69"/>
      <c r="P35" s="69"/>
      <c r="Q35" s="69"/>
      <c r="R35" s="13"/>
    </row>
    <row r="36" spans="1:18" x14ac:dyDescent="0.2">
      <c r="A36" s="21" t="s">
        <v>2</v>
      </c>
      <c r="B36" s="34">
        <v>4900000</v>
      </c>
    </row>
    <row r="37" spans="1:18" x14ac:dyDescent="0.2">
      <c r="A37" s="21" t="s">
        <v>24</v>
      </c>
      <c r="B37" s="34">
        <v>14150000</v>
      </c>
    </row>
    <row r="38" spans="1:18" x14ac:dyDescent="0.2">
      <c r="A38" s="21" t="s">
        <v>13</v>
      </c>
      <c r="B38" s="34">
        <v>8500000</v>
      </c>
    </row>
    <row r="39" spans="1:18" x14ac:dyDescent="0.2">
      <c r="A39" s="21" t="s">
        <v>7</v>
      </c>
      <c r="B39" s="34">
        <v>15150000</v>
      </c>
    </row>
    <row r="40" spans="1:18" x14ac:dyDescent="0.2">
      <c r="A40" s="21" t="s">
        <v>34</v>
      </c>
      <c r="B40" s="34">
        <v>11950000</v>
      </c>
    </row>
    <row r="41" spans="1:18" x14ac:dyDescent="0.2">
      <c r="A41" s="21" t="s">
        <v>75</v>
      </c>
      <c r="B41" s="34">
        <v>102550000</v>
      </c>
    </row>
    <row r="42" spans="1:18" x14ac:dyDescent="0.2">
      <c r="A42" s="22"/>
      <c r="B42" s="22"/>
    </row>
    <row r="43" spans="1:18" x14ac:dyDescent="0.2">
      <c r="A43" s="22"/>
      <c r="B43" s="22"/>
    </row>
    <row r="44" spans="1:18" x14ac:dyDescent="0.2">
      <c r="A44" s="22"/>
      <c r="B44" s="22"/>
    </row>
    <row r="45" spans="1:18" x14ac:dyDescent="0.2">
      <c r="A45" s="22"/>
      <c r="B45" s="22"/>
    </row>
    <row r="46" spans="1:18" s="61" customFormat="1" ht="30" x14ac:dyDescent="0.3">
      <c r="A46" s="70" t="s">
        <v>153</v>
      </c>
      <c r="B46" s="70"/>
      <c r="C46" s="70"/>
      <c r="D46" s="70"/>
      <c r="E46" s="70"/>
      <c r="F46" s="70"/>
      <c r="G46" s="70"/>
      <c r="H46" s="70"/>
      <c r="I46" s="70"/>
      <c r="J46" s="70"/>
      <c r="K46" s="70"/>
      <c r="L46" s="70"/>
      <c r="M46" s="70"/>
      <c r="N46" s="70"/>
      <c r="O46" s="70"/>
      <c r="P46" s="70"/>
      <c r="Q46" s="70"/>
    </row>
    <row r="47" spans="1:18" ht="18" x14ac:dyDescent="0.2">
      <c r="A47" s="22"/>
      <c r="B47" s="22"/>
      <c r="K47" s="19" t="s">
        <v>105</v>
      </c>
      <c r="L47" s="20" t="s">
        <v>131</v>
      </c>
      <c r="M47" s="15"/>
      <c r="N47" s="71"/>
      <c r="O47" s="71"/>
      <c r="P47" s="71"/>
      <c r="Q47" s="71"/>
    </row>
    <row r="48" spans="1:18" x14ac:dyDescent="0.2">
      <c r="A48" s="22"/>
      <c r="B48" s="22"/>
      <c r="K48" s="29">
        <v>1</v>
      </c>
      <c r="L48" s="68" t="s">
        <v>154</v>
      </c>
      <c r="M48" s="69"/>
      <c r="N48" s="69"/>
      <c r="O48" s="69"/>
      <c r="P48" s="69"/>
      <c r="Q48" s="69"/>
    </row>
    <row r="49" spans="1:17" x14ac:dyDescent="0.2">
      <c r="A49" s="22"/>
      <c r="B49" s="22"/>
      <c r="K49" s="30">
        <v>2</v>
      </c>
      <c r="L49" s="86" t="s">
        <v>155</v>
      </c>
      <c r="M49" s="87"/>
      <c r="N49" s="87"/>
      <c r="O49" s="87"/>
      <c r="P49" s="87"/>
      <c r="Q49" s="87"/>
    </row>
    <row r="50" spans="1:17" x14ac:dyDescent="0.2">
      <c r="A50" s="22"/>
      <c r="B50" s="22"/>
      <c r="K50" s="31">
        <v>3</v>
      </c>
      <c r="L50" s="68" t="s">
        <v>156</v>
      </c>
      <c r="M50" s="69"/>
      <c r="N50" s="69"/>
      <c r="O50" s="69"/>
      <c r="P50" s="69"/>
      <c r="Q50" s="69"/>
    </row>
    <row r="51" spans="1:17" x14ac:dyDescent="0.2">
      <c r="A51" s="22"/>
      <c r="B51" s="22"/>
    </row>
    <row r="52" spans="1:17" x14ac:dyDescent="0.2">
      <c r="A52" s="22"/>
      <c r="B52" s="22"/>
    </row>
    <row r="53" spans="1:17" x14ac:dyDescent="0.2">
      <c r="A53" s="22"/>
      <c r="B53" s="22"/>
    </row>
    <row r="54" spans="1:17" x14ac:dyDescent="0.2">
      <c r="A54" s="22"/>
      <c r="B54" s="22"/>
    </row>
    <row r="55" spans="1:17" x14ac:dyDescent="0.2">
      <c r="A55" s="22"/>
      <c r="B55" s="22"/>
    </row>
    <row r="56" spans="1:17" x14ac:dyDescent="0.2">
      <c r="A56" s="22"/>
      <c r="B56" s="22"/>
      <c r="L56" s="13"/>
      <c r="M56" s="13"/>
      <c r="N56" s="13"/>
      <c r="O56" s="13"/>
      <c r="P56" s="13"/>
      <c r="Q56" s="13"/>
    </row>
    <row r="57" spans="1:17" x14ac:dyDescent="0.2">
      <c r="A57" s="22"/>
      <c r="B57" s="22"/>
      <c r="L57" s="13"/>
      <c r="M57" s="13"/>
      <c r="N57" s="13"/>
      <c r="O57" s="13"/>
      <c r="P57" s="13"/>
      <c r="Q57" s="13"/>
    </row>
    <row r="58" spans="1:17" x14ac:dyDescent="0.2">
      <c r="A58" s="22"/>
      <c r="B58" s="22"/>
      <c r="L58" s="13"/>
      <c r="M58" s="13"/>
      <c r="N58" s="13"/>
      <c r="O58" s="13"/>
      <c r="P58" s="13"/>
      <c r="Q58" s="13"/>
    </row>
    <row r="59" spans="1:17" x14ac:dyDescent="0.2">
      <c r="A59" s="22"/>
      <c r="B59" s="22"/>
      <c r="L59" s="13"/>
      <c r="M59" s="13"/>
      <c r="N59" s="13"/>
      <c r="O59" s="13"/>
      <c r="P59" s="13"/>
      <c r="Q59" s="13"/>
    </row>
    <row r="60" spans="1:17" x14ac:dyDescent="0.2">
      <c r="A60" s="22"/>
      <c r="B60" s="22"/>
    </row>
    <row r="61" spans="1:17" x14ac:dyDescent="0.2">
      <c r="A61" s="22"/>
      <c r="B61" s="22"/>
    </row>
    <row r="62" spans="1:17" x14ac:dyDescent="0.2">
      <c r="A62" s="22"/>
      <c r="B62" s="22"/>
    </row>
    <row r="63" spans="1:17" x14ac:dyDescent="0.2">
      <c r="A63" s="22"/>
      <c r="B63" s="22"/>
    </row>
    <row r="64" spans="1:17" ht="30" x14ac:dyDescent="0.3">
      <c r="A64" s="88" t="s">
        <v>127</v>
      </c>
      <c r="B64" s="88"/>
      <c r="C64" s="88"/>
      <c r="D64" s="88"/>
      <c r="E64" s="88"/>
      <c r="F64" s="88"/>
      <c r="G64" s="88"/>
      <c r="H64" s="88"/>
      <c r="I64" s="88"/>
      <c r="J64" s="88"/>
      <c r="K64" s="88"/>
      <c r="L64" s="88"/>
      <c r="M64" s="88"/>
      <c r="N64" s="88"/>
      <c r="O64" s="88"/>
      <c r="P64" s="88"/>
      <c r="Q64" s="88"/>
    </row>
    <row r="65" spans="1:18" ht="18" x14ac:dyDescent="0.2">
      <c r="A65" s="17" t="s">
        <v>74</v>
      </c>
      <c r="B65" s="35" t="s">
        <v>76</v>
      </c>
      <c r="C65" s="14"/>
      <c r="D65" s="14"/>
      <c r="E65" s="14"/>
      <c r="F65" s="14"/>
      <c r="G65" s="14"/>
      <c r="H65" s="14"/>
      <c r="I65" s="14"/>
      <c r="J65" s="14"/>
      <c r="K65" s="19" t="s">
        <v>105</v>
      </c>
      <c r="L65" s="89" t="s">
        <v>131</v>
      </c>
      <c r="M65" s="90"/>
      <c r="N65" s="90"/>
      <c r="O65" s="90"/>
      <c r="P65" s="90"/>
      <c r="Q65" s="90"/>
    </row>
    <row r="66" spans="1:18" x14ac:dyDescent="0.2">
      <c r="A66" s="21" t="s">
        <v>43</v>
      </c>
      <c r="B66" s="34">
        <v>4450000</v>
      </c>
      <c r="K66" s="29">
        <v>1</v>
      </c>
      <c r="L66" s="68" t="s">
        <v>112</v>
      </c>
      <c r="M66" s="69"/>
      <c r="N66" s="69"/>
      <c r="O66" s="69"/>
      <c r="P66" s="69"/>
      <c r="Q66" s="69"/>
    </row>
    <row r="67" spans="1:18" s="7" customFormat="1" x14ac:dyDescent="0.2">
      <c r="A67" s="21" t="s">
        <v>33</v>
      </c>
      <c r="B67" s="34">
        <v>10450000</v>
      </c>
      <c r="C67"/>
      <c r="D67"/>
      <c r="E67"/>
      <c r="F67"/>
      <c r="G67"/>
      <c r="H67"/>
      <c r="I67"/>
      <c r="J67"/>
      <c r="K67" s="30">
        <v>2</v>
      </c>
      <c r="L67" s="86" t="s">
        <v>113</v>
      </c>
      <c r="M67" s="87"/>
      <c r="N67" s="87"/>
      <c r="O67" s="87"/>
      <c r="P67" s="87"/>
      <c r="Q67" s="87"/>
    </row>
    <row r="68" spans="1:18" x14ac:dyDescent="0.2">
      <c r="A68" s="21" t="s">
        <v>17</v>
      </c>
      <c r="B68" s="34">
        <v>19650000</v>
      </c>
      <c r="K68" s="31">
        <v>3</v>
      </c>
      <c r="L68" s="68" t="s">
        <v>114</v>
      </c>
      <c r="M68" s="69"/>
      <c r="N68" s="69"/>
      <c r="O68" s="69"/>
      <c r="P68" s="69"/>
      <c r="Q68" s="69"/>
    </row>
    <row r="69" spans="1:18" x14ac:dyDescent="0.2">
      <c r="A69" s="21" t="s">
        <v>22</v>
      </c>
      <c r="B69" s="34">
        <v>4300000</v>
      </c>
    </row>
    <row r="70" spans="1:18" s="61" customFormat="1" ht="30" x14ac:dyDescent="0.3">
      <c r="A70" s="21" t="s">
        <v>9</v>
      </c>
      <c r="B70" s="34">
        <v>15200000</v>
      </c>
      <c r="C70"/>
      <c r="D70"/>
      <c r="E70"/>
      <c r="F70"/>
      <c r="G70"/>
      <c r="H70"/>
      <c r="I70"/>
      <c r="J70"/>
      <c r="K70" s="11"/>
      <c r="L70"/>
      <c r="M70"/>
      <c r="N70"/>
      <c r="O70"/>
      <c r="P70"/>
      <c r="Q70"/>
    </row>
    <row r="71" spans="1:18" s="14" customFormat="1" ht="18" x14ac:dyDescent="0.2">
      <c r="A71" s="21" t="s">
        <v>39</v>
      </c>
      <c r="B71" s="34">
        <v>10950000</v>
      </c>
      <c r="C71"/>
      <c r="D71"/>
      <c r="E71"/>
      <c r="F71"/>
      <c r="G71"/>
      <c r="H71"/>
      <c r="I71"/>
      <c r="J71"/>
      <c r="K71" s="11"/>
      <c r="L71"/>
      <c r="M71"/>
      <c r="N71"/>
      <c r="O71"/>
      <c r="P71"/>
      <c r="Q71"/>
      <c r="R71" s="26"/>
    </row>
    <row r="72" spans="1:18" x14ac:dyDescent="0.2">
      <c r="A72" s="21" t="s">
        <v>4</v>
      </c>
      <c r="B72" s="34">
        <v>16650000</v>
      </c>
      <c r="R72" s="13"/>
    </row>
    <row r="73" spans="1:18" x14ac:dyDescent="0.2">
      <c r="A73" s="21" t="s">
        <v>36</v>
      </c>
      <c r="B73" s="34">
        <v>15100000</v>
      </c>
    </row>
    <row r="74" spans="1:18" x14ac:dyDescent="0.2">
      <c r="A74" s="21" t="s">
        <v>26</v>
      </c>
      <c r="B74" s="34">
        <v>15350000</v>
      </c>
      <c r="R74" s="13"/>
    </row>
    <row r="75" spans="1:18" x14ac:dyDescent="0.2">
      <c r="A75" s="21" t="s">
        <v>6</v>
      </c>
      <c r="B75" s="34">
        <v>12400000</v>
      </c>
    </row>
    <row r="76" spans="1:18" x14ac:dyDescent="0.2">
      <c r="A76" s="21" t="s">
        <v>29</v>
      </c>
      <c r="B76" s="34">
        <v>2550000</v>
      </c>
    </row>
    <row r="77" spans="1:18" x14ac:dyDescent="0.2">
      <c r="A77" s="21" t="s">
        <v>31</v>
      </c>
      <c r="B77" s="34">
        <v>10950000</v>
      </c>
    </row>
    <row r="78" spans="1:18" x14ac:dyDescent="0.2">
      <c r="A78" s="21" t="s">
        <v>12</v>
      </c>
      <c r="B78" s="34">
        <v>11700000</v>
      </c>
    </row>
    <row r="79" spans="1:18" x14ac:dyDescent="0.2">
      <c r="A79" s="21" t="s">
        <v>15</v>
      </c>
      <c r="B79" s="34">
        <v>19700000</v>
      </c>
    </row>
    <row r="80" spans="1:18" x14ac:dyDescent="0.2">
      <c r="A80" s="21" t="s">
        <v>1</v>
      </c>
      <c r="B80" s="34">
        <v>11000000</v>
      </c>
    </row>
    <row r="81" spans="1:18" x14ac:dyDescent="0.2">
      <c r="A81" s="21" t="s">
        <v>19</v>
      </c>
      <c r="B81" s="34">
        <v>18000000</v>
      </c>
    </row>
    <row r="82" spans="1:18" s="7" customFormat="1" x14ac:dyDescent="0.2">
      <c r="A82" s="21" t="s">
        <v>75</v>
      </c>
      <c r="B82" s="34">
        <v>198400000</v>
      </c>
      <c r="K82" s="11"/>
    </row>
    <row r="83" spans="1:18" x14ac:dyDescent="0.2">
      <c r="A83" s="22"/>
      <c r="B83" s="22"/>
    </row>
    <row r="84" spans="1:18" x14ac:dyDescent="0.2">
      <c r="A84" s="22"/>
      <c r="B84" s="22"/>
    </row>
    <row r="85" spans="1:18" ht="30" x14ac:dyDescent="0.3">
      <c r="A85" s="88" t="s">
        <v>126</v>
      </c>
      <c r="B85" s="88"/>
      <c r="C85" s="88"/>
      <c r="D85" s="88"/>
      <c r="E85" s="88"/>
      <c r="F85" s="88"/>
      <c r="G85" s="88"/>
      <c r="H85" s="88"/>
      <c r="I85" s="88"/>
      <c r="J85" s="88"/>
      <c r="K85" s="88"/>
      <c r="L85" s="88"/>
      <c r="M85" s="88"/>
      <c r="N85" s="88"/>
      <c r="O85" s="88"/>
      <c r="P85" s="88"/>
      <c r="Q85" s="88"/>
    </row>
    <row r="86" spans="1:18" ht="18" x14ac:dyDescent="0.2">
      <c r="A86" s="17" t="s">
        <v>74</v>
      </c>
      <c r="B86" s="35" t="s">
        <v>76</v>
      </c>
      <c r="C86" s="14"/>
      <c r="D86" s="14"/>
      <c r="E86" s="14"/>
      <c r="F86" s="14"/>
      <c r="G86" s="14"/>
      <c r="H86" s="14"/>
      <c r="I86" s="14"/>
      <c r="J86" s="14"/>
      <c r="K86" s="19" t="s">
        <v>105</v>
      </c>
      <c r="L86" s="89" t="s">
        <v>131</v>
      </c>
      <c r="M86" s="90"/>
      <c r="N86" s="90"/>
      <c r="O86" s="90"/>
      <c r="P86" s="90"/>
      <c r="Q86" s="90"/>
    </row>
    <row r="87" spans="1:18" s="61" customFormat="1" ht="30" x14ac:dyDescent="0.3">
      <c r="A87" s="21" t="s">
        <v>78</v>
      </c>
      <c r="B87" s="34">
        <v>15750000</v>
      </c>
      <c r="C87"/>
      <c r="D87"/>
      <c r="E87"/>
      <c r="F87"/>
      <c r="G87"/>
      <c r="H87"/>
      <c r="I87"/>
      <c r="J87"/>
      <c r="K87" s="29">
        <v>1</v>
      </c>
      <c r="L87" s="68" t="s">
        <v>115</v>
      </c>
      <c r="M87" s="69"/>
      <c r="N87" s="69"/>
      <c r="O87" s="69"/>
      <c r="P87" s="69"/>
      <c r="Q87" s="69"/>
    </row>
    <row r="88" spans="1:18" s="16" customFormat="1" ht="18" x14ac:dyDescent="0.2">
      <c r="A88" s="21" t="s">
        <v>79</v>
      </c>
      <c r="B88" s="34">
        <v>17450000</v>
      </c>
      <c r="C88"/>
      <c r="D88"/>
      <c r="E88"/>
      <c r="F88"/>
      <c r="G88"/>
      <c r="H88"/>
      <c r="I88"/>
      <c r="J88"/>
      <c r="K88" s="30">
        <v>2</v>
      </c>
      <c r="L88" s="86" t="s">
        <v>116</v>
      </c>
      <c r="M88" s="87"/>
      <c r="N88" s="87"/>
      <c r="O88" s="87"/>
      <c r="P88" s="87"/>
      <c r="Q88" s="87"/>
      <c r="R88" s="26"/>
    </row>
    <row r="89" spans="1:18" x14ac:dyDescent="0.2">
      <c r="A89" s="21" t="s">
        <v>80</v>
      </c>
      <c r="B89" s="34">
        <v>27500000</v>
      </c>
      <c r="K89" s="31">
        <v>3</v>
      </c>
      <c r="L89" s="68" t="s">
        <v>117</v>
      </c>
      <c r="M89" s="69"/>
      <c r="N89" s="69"/>
      <c r="O89" s="69"/>
      <c r="P89" s="69"/>
      <c r="Q89" s="69"/>
      <c r="R89" s="13"/>
    </row>
    <row r="90" spans="1:18" x14ac:dyDescent="0.2">
      <c r="A90" s="21" t="s">
        <v>81</v>
      </c>
      <c r="B90" s="34">
        <v>16850000</v>
      </c>
    </row>
    <row r="91" spans="1:18" x14ac:dyDescent="0.2">
      <c r="A91" s="21" t="s">
        <v>82</v>
      </c>
      <c r="B91" s="34">
        <v>21050000</v>
      </c>
      <c r="R91" s="13"/>
    </row>
    <row r="92" spans="1:18" x14ac:dyDescent="0.2">
      <c r="A92" s="21" t="s">
        <v>83</v>
      </c>
      <c r="B92" s="34">
        <v>25450000</v>
      </c>
    </row>
    <row r="93" spans="1:18" x14ac:dyDescent="0.2">
      <c r="A93" s="21" t="s">
        <v>84</v>
      </c>
      <c r="B93" s="34">
        <v>21100000</v>
      </c>
    </row>
    <row r="94" spans="1:18" x14ac:dyDescent="0.2">
      <c r="A94" s="21" t="s">
        <v>85</v>
      </c>
      <c r="B94" s="34">
        <v>21000000</v>
      </c>
    </row>
    <row r="95" spans="1:18" x14ac:dyDescent="0.2">
      <c r="A95" s="21" t="s">
        <v>86</v>
      </c>
      <c r="B95" s="34">
        <v>17100000</v>
      </c>
    </row>
    <row r="96" spans="1:18" x14ac:dyDescent="0.2">
      <c r="A96" s="21" t="s">
        <v>87</v>
      </c>
      <c r="B96" s="34">
        <v>15150000</v>
      </c>
    </row>
    <row r="97" spans="1:17" x14ac:dyDescent="0.2">
      <c r="A97" s="21" t="s">
        <v>75</v>
      </c>
      <c r="B97" s="34">
        <v>198400000</v>
      </c>
      <c r="C97" s="7"/>
      <c r="D97" s="7"/>
      <c r="E97" s="7"/>
      <c r="F97" s="7"/>
      <c r="G97" s="7"/>
      <c r="H97" s="7"/>
      <c r="I97" s="7"/>
      <c r="J97" s="7"/>
      <c r="L97" s="7"/>
      <c r="M97" s="7"/>
      <c r="N97" s="7"/>
      <c r="O97" s="7"/>
      <c r="P97" s="7"/>
      <c r="Q97" s="7"/>
    </row>
    <row r="98" spans="1:17" x14ac:dyDescent="0.2">
      <c r="A98" s="22"/>
      <c r="B98" s="22"/>
    </row>
    <row r="99" spans="1:17" x14ac:dyDescent="0.2">
      <c r="A99" s="22"/>
      <c r="B99" s="22"/>
    </row>
    <row r="100" spans="1:17" x14ac:dyDescent="0.2">
      <c r="A100" s="22"/>
      <c r="B100" s="22"/>
    </row>
    <row r="101" spans="1:17" x14ac:dyDescent="0.2">
      <c r="A101" s="22"/>
      <c r="B101" s="22"/>
    </row>
    <row r="102" spans="1:17" ht="30" x14ac:dyDescent="0.3">
      <c r="A102" s="88" t="s">
        <v>130</v>
      </c>
      <c r="B102" s="88"/>
      <c r="C102" s="88"/>
      <c r="D102" s="88"/>
      <c r="E102" s="88"/>
      <c r="F102" s="88"/>
      <c r="G102" s="88"/>
      <c r="H102" s="88"/>
      <c r="I102" s="88"/>
      <c r="J102" s="88"/>
      <c r="K102" s="88"/>
      <c r="L102" s="88"/>
      <c r="M102" s="88"/>
      <c r="N102" s="88"/>
      <c r="O102" s="88"/>
      <c r="P102" s="88"/>
      <c r="Q102" s="88"/>
    </row>
    <row r="103" spans="1:17" ht="18" x14ac:dyDescent="0.2">
      <c r="A103" s="23" t="s">
        <v>74</v>
      </c>
      <c r="B103" s="35" t="s">
        <v>88</v>
      </c>
      <c r="C103" s="16"/>
      <c r="D103" s="16"/>
      <c r="E103" s="16"/>
      <c r="F103" s="16"/>
      <c r="G103" s="16"/>
      <c r="H103" s="16"/>
      <c r="I103" s="16"/>
      <c r="J103" s="16"/>
      <c r="K103" s="19" t="s">
        <v>105</v>
      </c>
      <c r="L103" s="89" t="s">
        <v>131</v>
      </c>
      <c r="M103" s="90"/>
      <c r="N103" s="90"/>
      <c r="O103" s="90"/>
      <c r="P103" s="90"/>
      <c r="Q103" s="90"/>
    </row>
    <row r="104" spans="1:17" s="61" customFormat="1" ht="30" x14ac:dyDescent="0.3">
      <c r="A104" s="21" t="s">
        <v>20</v>
      </c>
      <c r="B104" s="36">
        <v>12</v>
      </c>
      <c r="C104"/>
      <c r="D104"/>
      <c r="E104"/>
      <c r="F104"/>
      <c r="G104"/>
      <c r="H104"/>
      <c r="I104"/>
      <c r="J104"/>
      <c r="K104" s="29">
        <v>1</v>
      </c>
      <c r="L104" s="68" t="s">
        <v>118</v>
      </c>
      <c r="M104" s="69"/>
      <c r="N104" s="69"/>
      <c r="O104" s="69"/>
      <c r="P104" s="69"/>
      <c r="Q104" s="69"/>
    </row>
    <row r="105" spans="1:17" x14ac:dyDescent="0.2">
      <c r="A105" s="21" t="s">
        <v>37</v>
      </c>
      <c r="B105" s="36">
        <v>12</v>
      </c>
      <c r="K105" s="30">
        <v>2</v>
      </c>
      <c r="L105" s="86" t="s">
        <v>119</v>
      </c>
      <c r="M105" s="87"/>
      <c r="N105" s="87"/>
      <c r="O105" s="87"/>
      <c r="P105" s="87"/>
      <c r="Q105" s="87"/>
    </row>
    <row r="106" spans="1:17" x14ac:dyDescent="0.2">
      <c r="A106" s="21" t="s">
        <v>10</v>
      </c>
      <c r="B106" s="36">
        <v>16</v>
      </c>
      <c r="K106" s="31">
        <v>3</v>
      </c>
      <c r="L106" s="68" t="s">
        <v>120</v>
      </c>
      <c r="M106" s="69"/>
      <c r="N106" s="69"/>
      <c r="O106" s="69"/>
      <c r="P106" s="69"/>
      <c r="Q106" s="69"/>
    </row>
    <row r="107" spans="1:17" x14ac:dyDescent="0.2">
      <c r="A107" s="21" t="s">
        <v>2</v>
      </c>
      <c r="B107" s="36">
        <v>12</v>
      </c>
    </row>
    <row r="108" spans="1:17" x14ac:dyDescent="0.2">
      <c r="A108" s="21" t="s">
        <v>24</v>
      </c>
      <c r="B108" s="36">
        <v>11</v>
      </c>
    </row>
    <row r="109" spans="1:17" x14ac:dyDescent="0.2">
      <c r="A109" s="21" t="s">
        <v>13</v>
      </c>
      <c r="B109" s="36">
        <v>12</v>
      </c>
    </row>
    <row r="110" spans="1:17" x14ac:dyDescent="0.2">
      <c r="A110" s="21" t="s">
        <v>7</v>
      </c>
      <c r="B110" s="36">
        <v>12</v>
      </c>
    </row>
    <row r="111" spans="1:17" x14ac:dyDescent="0.2">
      <c r="A111" s="21" t="s">
        <v>34</v>
      </c>
      <c r="B111" s="36">
        <v>13</v>
      </c>
    </row>
    <row r="112" spans="1:17" x14ac:dyDescent="0.2">
      <c r="A112" s="21" t="s">
        <v>75</v>
      </c>
      <c r="B112" s="36">
        <v>100</v>
      </c>
    </row>
    <row r="113" spans="1:17" s="7" customFormat="1" x14ac:dyDescent="0.2">
      <c r="A113" s="22"/>
      <c r="B113"/>
      <c r="C113"/>
      <c r="D113"/>
      <c r="E113"/>
      <c r="F113"/>
      <c r="G113"/>
      <c r="H113"/>
      <c r="I113"/>
      <c r="J113"/>
      <c r="K113" s="11"/>
      <c r="L113"/>
      <c r="M113"/>
      <c r="N113"/>
      <c r="O113"/>
      <c r="P113"/>
      <c r="Q113"/>
    </row>
    <row r="114" spans="1:17" x14ac:dyDescent="0.2">
      <c r="A114" s="22"/>
    </row>
    <row r="115" spans="1:17" x14ac:dyDescent="0.2">
      <c r="A115" s="22"/>
    </row>
    <row r="116" spans="1:17" x14ac:dyDescent="0.2">
      <c r="A116" s="22"/>
    </row>
    <row r="117" spans="1:17" x14ac:dyDescent="0.2">
      <c r="A117" s="22"/>
    </row>
    <row r="118" spans="1:17" x14ac:dyDescent="0.2">
      <c r="A118" s="22"/>
    </row>
    <row r="119" spans="1:17" ht="30" x14ac:dyDescent="0.3">
      <c r="A119" s="88" t="s">
        <v>121</v>
      </c>
      <c r="B119" s="88"/>
      <c r="C119" s="88"/>
      <c r="D119" s="88"/>
      <c r="E119" s="88"/>
      <c r="F119" s="88"/>
      <c r="G119" s="88"/>
      <c r="H119" s="88"/>
      <c r="I119" s="88"/>
      <c r="J119" s="88"/>
      <c r="K119" s="88"/>
      <c r="L119" s="88"/>
      <c r="M119" s="88"/>
      <c r="N119" s="88"/>
      <c r="O119" s="88"/>
      <c r="P119" s="88"/>
      <c r="Q119" s="88"/>
    </row>
    <row r="120" spans="1:17" x14ac:dyDescent="0.2">
      <c r="A120" s="84" t="s">
        <v>132</v>
      </c>
      <c r="B120" s="85"/>
      <c r="C120" s="85"/>
      <c r="D120" s="85"/>
      <c r="E120" s="85"/>
      <c r="F120" s="85"/>
      <c r="G120" s="85"/>
      <c r="H120" s="85"/>
      <c r="I120" s="85"/>
      <c r="J120" s="85"/>
      <c r="K120" s="85"/>
      <c r="L120" s="85"/>
      <c r="M120" s="85"/>
      <c r="N120" s="85"/>
      <c r="O120" s="85"/>
      <c r="P120" s="85"/>
      <c r="Q120" s="85"/>
    </row>
    <row r="121" spans="1:17" x14ac:dyDescent="0.2">
      <c r="A121" s="68" t="s">
        <v>122</v>
      </c>
      <c r="B121" s="69"/>
      <c r="C121" s="69"/>
      <c r="D121" s="69"/>
      <c r="E121" s="69"/>
      <c r="F121" s="69"/>
      <c r="G121" s="69"/>
      <c r="H121" s="69"/>
      <c r="I121" s="69"/>
      <c r="J121" s="69"/>
      <c r="K121" s="69"/>
      <c r="L121" s="69"/>
      <c r="M121" s="32"/>
      <c r="N121" s="32"/>
      <c r="O121" s="32"/>
      <c r="P121" s="32"/>
      <c r="Q121" s="32"/>
    </row>
    <row r="122" spans="1:17" x14ac:dyDescent="0.2">
      <c r="A122" s="86" t="s">
        <v>123</v>
      </c>
      <c r="B122" s="87"/>
      <c r="C122" s="87"/>
      <c r="D122" s="87"/>
      <c r="E122" s="87"/>
      <c r="F122" s="87"/>
      <c r="G122" s="87"/>
      <c r="H122" s="87"/>
      <c r="I122" s="87"/>
      <c r="J122" s="87"/>
      <c r="K122" s="87"/>
      <c r="L122" s="87"/>
      <c r="M122" s="28"/>
      <c r="N122" s="28"/>
      <c r="O122" s="28"/>
      <c r="P122" s="28"/>
      <c r="Q122" s="28"/>
    </row>
    <row r="123" spans="1:17" x14ac:dyDescent="0.2">
      <c r="A123" s="68" t="s">
        <v>124</v>
      </c>
      <c r="B123" s="69"/>
      <c r="C123" s="69"/>
      <c r="D123" s="69"/>
      <c r="E123" s="69"/>
      <c r="F123" s="69"/>
      <c r="G123" s="69"/>
      <c r="H123" s="69"/>
      <c r="I123" s="69"/>
      <c r="J123" s="69"/>
      <c r="K123" s="69"/>
      <c r="L123" s="69"/>
      <c r="M123" s="12"/>
      <c r="N123" s="12"/>
      <c r="O123" s="12"/>
      <c r="P123" s="12"/>
      <c r="Q123" s="12"/>
    </row>
    <row r="124" spans="1:17" x14ac:dyDescent="0.2">
      <c r="A124" s="75" t="s">
        <v>125</v>
      </c>
      <c r="B124" s="75"/>
      <c r="C124" s="75"/>
      <c r="D124" s="75"/>
      <c r="E124" s="75"/>
      <c r="F124" s="75"/>
      <c r="G124" s="75"/>
      <c r="H124" s="75"/>
      <c r="I124" s="75"/>
      <c r="J124" s="75"/>
      <c r="K124" s="75"/>
      <c r="L124" s="75"/>
      <c r="M124" s="24"/>
      <c r="N124" s="24"/>
      <c r="O124" s="24"/>
      <c r="P124" s="24"/>
      <c r="Q124" s="24"/>
    </row>
    <row r="125" spans="1:17" x14ac:dyDescent="0.2">
      <c r="A125" s="76"/>
      <c r="B125" s="77"/>
      <c r="C125" s="77"/>
      <c r="D125" s="77"/>
      <c r="E125" s="77"/>
      <c r="F125" s="77"/>
      <c r="G125" s="77"/>
      <c r="H125" s="77"/>
      <c r="I125" s="77"/>
      <c r="J125" s="77"/>
      <c r="K125" s="77"/>
      <c r="L125" s="77"/>
      <c r="M125" s="13"/>
      <c r="N125" s="13"/>
      <c r="O125" s="13"/>
      <c r="P125" s="13"/>
      <c r="Q125" s="13"/>
    </row>
    <row r="126" spans="1:17" x14ac:dyDescent="0.2">
      <c r="A126" s="22"/>
    </row>
    <row r="127" spans="1:17" x14ac:dyDescent="0.2">
      <c r="A127" s="22"/>
    </row>
    <row r="128" spans="1:17" ht="21" x14ac:dyDescent="0.25">
      <c r="A128" s="78"/>
      <c r="B128" s="78"/>
      <c r="C128" s="78"/>
      <c r="D128" s="78"/>
      <c r="E128" s="78"/>
      <c r="F128" s="78"/>
      <c r="G128" s="78"/>
      <c r="H128" s="78"/>
      <c r="I128" s="78"/>
      <c r="J128" s="78"/>
      <c r="K128" s="78"/>
      <c r="L128" s="78"/>
      <c r="M128" s="78"/>
      <c r="N128" s="78"/>
      <c r="O128" s="78"/>
      <c r="P128" s="78"/>
      <c r="Q128" s="78"/>
    </row>
    <row r="129" spans="1:17" x14ac:dyDescent="0.2">
      <c r="A129" s="82"/>
      <c r="B129" s="83"/>
      <c r="C129" s="83"/>
      <c r="D129" s="83"/>
      <c r="E129" s="83"/>
      <c r="F129" s="83"/>
      <c r="G129" s="83"/>
      <c r="H129" s="83"/>
      <c r="I129" s="83"/>
      <c r="J129" s="83"/>
      <c r="K129" s="83"/>
      <c r="L129" s="83"/>
      <c r="M129" s="83"/>
      <c r="N129" s="83"/>
      <c r="O129" s="83"/>
      <c r="P129" s="83"/>
      <c r="Q129" s="83"/>
    </row>
    <row r="130" spans="1:17" x14ac:dyDescent="0.2">
      <c r="A130" s="82"/>
      <c r="B130" s="83"/>
      <c r="C130" s="83"/>
      <c r="D130" s="83"/>
      <c r="E130" s="83"/>
      <c r="F130" s="83"/>
      <c r="G130" s="83"/>
      <c r="H130" s="83"/>
      <c r="I130" s="83"/>
      <c r="J130" s="83"/>
      <c r="K130" s="83"/>
      <c r="L130" s="83"/>
      <c r="M130" s="83"/>
      <c r="N130" s="83"/>
      <c r="O130" s="83"/>
      <c r="P130" s="83"/>
      <c r="Q130" s="83"/>
    </row>
    <row r="131" spans="1:17" x14ac:dyDescent="0.2">
      <c r="A131" s="22"/>
    </row>
    <row r="132" spans="1:17" x14ac:dyDescent="0.2">
      <c r="A132" s="22"/>
    </row>
    <row r="133" spans="1:17" x14ac:dyDescent="0.2">
      <c r="A133" s="22"/>
    </row>
    <row r="134" spans="1:17" x14ac:dyDescent="0.2">
      <c r="A134" s="22"/>
    </row>
    <row r="135" spans="1:17" x14ac:dyDescent="0.2">
      <c r="A135" s="22"/>
    </row>
    <row r="136" spans="1:17" x14ac:dyDescent="0.2">
      <c r="A136" s="22"/>
    </row>
    <row r="137" spans="1:17" x14ac:dyDescent="0.2">
      <c r="A137" s="22"/>
    </row>
    <row r="138" spans="1:17" x14ac:dyDescent="0.2">
      <c r="A138" s="22"/>
    </row>
    <row r="139" spans="1:17" x14ac:dyDescent="0.2">
      <c r="A139" s="22"/>
    </row>
    <row r="140" spans="1:17" x14ac:dyDescent="0.2">
      <c r="A140" s="22"/>
    </row>
    <row r="141" spans="1:17" x14ac:dyDescent="0.2">
      <c r="A141" s="22"/>
    </row>
    <row r="142" spans="1:17" x14ac:dyDescent="0.2">
      <c r="A142" s="22"/>
    </row>
    <row r="143" spans="1:17" x14ac:dyDescent="0.2">
      <c r="A143" s="22"/>
    </row>
    <row r="144" spans="1:17" x14ac:dyDescent="0.2">
      <c r="A144" s="22"/>
    </row>
  </sheetData>
  <mergeCells count="49">
    <mergeCell ref="B8:E8"/>
    <mergeCell ref="A64:Q64"/>
    <mergeCell ref="L34:Q34"/>
    <mergeCell ref="L33:Q33"/>
    <mergeCell ref="N32:Q32"/>
    <mergeCell ref="A119:Q119"/>
    <mergeCell ref="L35:Q35"/>
    <mergeCell ref="L65:Q65"/>
    <mergeCell ref="L48:Q48"/>
    <mergeCell ref="L49:Q49"/>
    <mergeCell ref="L105:Q105"/>
    <mergeCell ref="L106:Q106"/>
    <mergeCell ref="L103:Q103"/>
    <mergeCell ref="L104:Q104"/>
    <mergeCell ref="L66:Q66"/>
    <mergeCell ref="L67:Q67"/>
    <mergeCell ref="L68:Q68"/>
    <mergeCell ref="A129:Q129"/>
    <mergeCell ref="A130:Q130"/>
    <mergeCell ref="A120:Q120"/>
    <mergeCell ref="A121:L121"/>
    <mergeCell ref="A122:L122"/>
    <mergeCell ref="A1:K1"/>
    <mergeCell ref="A123:L123"/>
    <mergeCell ref="A124:L124"/>
    <mergeCell ref="A125:L125"/>
    <mergeCell ref="A128:Q128"/>
    <mergeCell ref="A2:E2"/>
    <mergeCell ref="B4:E4"/>
    <mergeCell ref="B5:E5"/>
    <mergeCell ref="B6:E6"/>
    <mergeCell ref="B7:E7"/>
    <mergeCell ref="A85:Q85"/>
    <mergeCell ref="L86:Q86"/>
    <mergeCell ref="L88:Q88"/>
    <mergeCell ref="L87:Q87"/>
    <mergeCell ref="L89:Q89"/>
    <mergeCell ref="A102:Q102"/>
    <mergeCell ref="L50:Q50"/>
    <mergeCell ref="A46:Q46"/>
    <mergeCell ref="N47:Q47"/>
    <mergeCell ref="B9:E9"/>
    <mergeCell ref="B10:E10"/>
    <mergeCell ref="L15:Q15"/>
    <mergeCell ref="L17:Q17"/>
    <mergeCell ref="A31:Q31"/>
    <mergeCell ref="L16:Q16"/>
    <mergeCell ref="L14:Q14"/>
    <mergeCell ref="A13:Q13"/>
  </mergeCell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0E27F-659C-5D46-A51B-DD26499E448F}">
  <dimension ref="A1:M26"/>
  <sheetViews>
    <sheetView showGridLines="0" topLeftCell="A7" zoomScale="95" workbookViewId="0">
      <selection activeCell="B14" sqref="B14:C21"/>
    </sheetView>
  </sheetViews>
  <sheetFormatPr baseColWidth="10" defaultRowHeight="15" x14ac:dyDescent="0.2"/>
  <cols>
    <col min="1" max="1" width="24.33203125" customWidth="1"/>
    <col min="2" max="2" width="127.5" style="5" customWidth="1"/>
    <col min="3" max="3" width="41" customWidth="1"/>
    <col min="4" max="4" width="16.5" customWidth="1"/>
  </cols>
  <sheetData>
    <row r="1" spans="1:4" ht="30" x14ac:dyDescent="0.3">
      <c r="A1" s="93" t="s">
        <v>102</v>
      </c>
      <c r="B1" s="94"/>
      <c r="C1" s="94"/>
      <c r="D1" s="95"/>
    </row>
    <row r="2" spans="1:4" x14ac:dyDescent="0.2">
      <c r="A2" s="92" t="s">
        <v>151</v>
      </c>
      <c r="B2" s="92"/>
      <c r="C2" s="92"/>
      <c r="D2" s="92"/>
    </row>
    <row r="3" spans="1:4" x14ac:dyDescent="0.2">
      <c r="A3" s="52"/>
      <c r="B3" s="52"/>
      <c r="C3" s="52"/>
      <c r="D3" s="52"/>
    </row>
    <row r="4" spans="1:4" s="9" customFormat="1" ht="20" x14ac:dyDescent="0.25">
      <c r="A4" s="67" t="s">
        <v>95</v>
      </c>
      <c r="B4" s="67" t="s">
        <v>89</v>
      </c>
      <c r="C4" s="96" t="s">
        <v>90</v>
      </c>
      <c r="D4" s="96"/>
    </row>
    <row r="5" spans="1:4" s="22" customFormat="1" ht="48" x14ac:dyDescent="0.2">
      <c r="A5" s="55" t="s">
        <v>91</v>
      </c>
      <c r="B5" s="56" t="s">
        <v>92</v>
      </c>
      <c r="C5" s="97" t="s">
        <v>103</v>
      </c>
      <c r="D5" s="97"/>
    </row>
    <row r="6" spans="1:4" s="50" customFormat="1" ht="48" customHeight="1" x14ac:dyDescent="0.2">
      <c r="A6" s="57" t="s">
        <v>93</v>
      </c>
      <c r="B6" s="58" t="s">
        <v>94</v>
      </c>
      <c r="C6" s="98" t="s">
        <v>104</v>
      </c>
      <c r="D6" s="98"/>
    </row>
    <row r="7" spans="1:4" s="22" customFormat="1" ht="80" customHeight="1" x14ac:dyDescent="0.2">
      <c r="A7" s="55" t="s">
        <v>96</v>
      </c>
      <c r="B7" s="56" t="s">
        <v>100</v>
      </c>
      <c r="C7" s="97" t="s">
        <v>97</v>
      </c>
      <c r="D7" s="97"/>
    </row>
    <row r="8" spans="1:4" s="22" customFormat="1" ht="64" customHeight="1" x14ac:dyDescent="0.2">
      <c r="A8" s="59" t="s">
        <v>98</v>
      </c>
      <c r="B8" s="58" t="s">
        <v>101</v>
      </c>
      <c r="C8" s="98" t="s">
        <v>99</v>
      </c>
      <c r="D8" s="98"/>
    </row>
    <row r="9" spans="1:4" ht="64" customHeight="1" x14ac:dyDescent="0.2">
      <c r="A9" s="49"/>
      <c r="B9" s="50"/>
      <c r="C9" s="48"/>
      <c r="D9" s="48"/>
    </row>
    <row r="10" spans="1:4" x14ac:dyDescent="0.2">
      <c r="A10" s="43"/>
      <c r="B10" s="10"/>
      <c r="C10" s="10"/>
    </row>
    <row r="11" spans="1:4" x14ac:dyDescent="0.2">
      <c r="A11" s="91" t="s">
        <v>145</v>
      </c>
      <c r="B11" s="99"/>
      <c r="C11" s="99"/>
      <c r="D11" s="99"/>
    </row>
    <row r="12" spans="1:4" s="44" customFormat="1" ht="21" x14ac:dyDescent="0.25">
      <c r="A12" s="99"/>
      <c r="B12" s="99"/>
      <c r="C12" s="99"/>
      <c r="D12" s="99"/>
    </row>
    <row r="13" spans="1:4" s="8" customFormat="1" ht="18" x14ac:dyDescent="0.2">
      <c r="A13" s="60" t="s">
        <v>67</v>
      </c>
      <c r="B13" s="45" t="s">
        <v>69</v>
      </c>
      <c r="C13" s="45" t="s">
        <v>73</v>
      </c>
      <c r="D13" s="45" t="s">
        <v>144</v>
      </c>
    </row>
    <row r="14" spans="1:4" x14ac:dyDescent="0.2">
      <c r="A14" s="25" t="s">
        <v>20</v>
      </c>
      <c r="B14" s="47">
        <v>22300000</v>
      </c>
      <c r="C14" s="47">
        <v>11300000</v>
      </c>
      <c r="D14" s="46">
        <v>0.50700000000000001</v>
      </c>
    </row>
    <row r="15" spans="1:4" x14ac:dyDescent="0.2">
      <c r="A15" s="7" t="s">
        <v>37</v>
      </c>
      <c r="B15" s="33">
        <v>37000000</v>
      </c>
      <c r="C15" s="33">
        <v>18300000</v>
      </c>
      <c r="D15" s="51">
        <v>0.495</v>
      </c>
    </row>
    <row r="16" spans="1:4" x14ac:dyDescent="0.2">
      <c r="A16" s="25" t="s">
        <v>10</v>
      </c>
      <c r="B16" s="47">
        <v>35800000</v>
      </c>
      <c r="C16" s="47">
        <v>18300000</v>
      </c>
      <c r="D16" s="46">
        <v>0.51100000000000001</v>
      </c>
    </row>
    <row r="17" spans="1:13" x14ac:dyDescent="0.2">
      <c r="A17" s="7" t="s">
        <v>2</v>
      </c>
      <c r="B17" s="33">
        <v>9150000</v>
      </c>
      <c r="C17" s="33">
        <v>4900000</v>
      </c>
      <c r="D17" s="51">
        <v>0.53600000000000003</v>
      </c>
    </row>
    <row r="18" spans="1:13" x14ac:dyDescent="0.2">
      <c r="A18" s="25" t="s">
        <v>24</v>
      </c>
      <c r="B18" s="47">
        <v>27150000</v>
      </c>
      <c r="C18" s="47">
        <v>14150000</v>
      </c>
      <c r="D18" s="46">
        <v>0.52100000000000002</v>
      </c>
    </row>
    <row r="19" spans="1:13" x14ac:dyDescent="0.2">
      <c r="A19" s="7" t="s">
        <v>13</v>
      </c>
      <c r="B19" s="33">
        <v>16550000</v>
      </c>
      <c r="C19" s="33">
        <v>8500000</v>
      </c>
      <c r="D19" s="51">
        <v>0.51300000000000001</v>
      </c>
    </row>
    <row r="20" spans="1:13" x14ac:dyDescent="0.2">
      <c r="A20" s="25" t="s">
        <v>7</v>
      </c>
      <c r="B20" s="47">
        <v>27400000</v>
      </c>
      <c r="C20" s="47">
        <v>15150000</v>
      </c>
      <c r="D20" s="46">
        <v>0.55300000000000005</v>
      </c>
    </row>
    <row r="21" spans="1:13" x14ac:dyDescent="0.2">
      <c r="A21" s="7" t="s">
        <v>34</v>
      </c>
      <c r="B21" s="33">
        <v>23050000</v>
      </c>
      <c r="C21" s="33">
        <v>11950000</v>
      </c>
      <c r="D21" s="51">
        <v>0.51800000000000002</v>
      </c>
    </row>
    <row r="22" spans="1:13" x14ac:dyDescent="0.2">
      <c r="A22" s="2"/>
      <c r="B22" s="2"/>
      <c r="C22" s="2"/>
    </row>
    <row r="23" spans="1:13" x14ac:dyDescent="0.2">
      <c r="A23" s="2"/>
      <c r="B23" s="2"/>
      <c r="C23" s="2"/>
    </row>
    <row r="24" spans="1:13" x14ac:dyDescent="0.2">
      <c r="A24" s="2"/>
      <c r="B24" s="2"/>
      <c r="C24" s="2"/>
    </row>
    <row r="25" spans="1:13" ht="30" x14ac:dyDescent="0.3">
      <c r="A25" s="91" t="s">
        <v>150</v>
      </c>
      <c r="B25" s="91"/>
      <c r="C25" s="91"/>
      <c r="D25" s="91"/>
    </row>
    <row r="26" spans="1:13" s="5" customFormat="1" ht="26" customHeight="1" x14ac:dyDescent="0.2">
      <c r="A26" s="92" t="s">
        <v>152</v>
      </c>
      <c r="B26" s="92"/>
      <c r="C26" s="92"/>
      <c r="D26" s="92"/>
      <c r="E26" s="10"/>
      <c r="F26" s="10"/>
      <c r="G26" s="10"/>
      <c r="H26" s="10"/>
      <c r="I26" s="10"/>
      <c r="J26" s="10"/>
      <c r="K26" s="10"/>
      <c r="L26" s="10"/>
      <c r="M26" s="10"/>
    </row>
  </sheetData>
  <mergeCells count="10">
    <mergeCell ref="A25:D25"/>
    <mergeCell ref="A26:D26"/>
    <mergeCell ref="A2:D2"/>
    <mergeCell ref="A1:D1"/>
    <mergeCell ref="C4:D4"/>
    <mergeCell ref="C5:D5"/>
    <mergeCell ref="C6:D6"/>
    <mergeCell ref="C7:D7"/>
    <mergeCell ref="C8:D8"/>
    <mergeCell ref="A11:D12"/>
  </mergeCells>
  <conditionalFormatting sqref="D13">
    <cfRule type="colorScale" priority="4">
      <colorScale>
        <cfvo type="min"/>
        <cfvo type="percentile" val="50"/>
        <cfvo type="max"/>
        <color rgb="FFF8696B"/>
        <color rgb="FFFFEB84"/>
        <color rgb="FF63BE7B"/>
      </colorScale>
    </cfRule>
  </conditionalFormatting>
  <conditionalFormatting sqref="D14:D21">
    <cfRule type="dataBar" priority="1">
      <dataBar>
        <cfvo type="min"/>
        <cfvo type="max"/>
        <color rgb="FF63C384"/>
      </dataBar>
      <extLst>
        <ext xmlns:x14="http://schemas.microsoft.com/office/spreadsheetml/2009/9/main" uri="{B025F937-C7B1-47D3-B67F-A62EFF666E3E}">
          <x14:id>{772E6500-0DF2-0D45-8671-E201F55A2642}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72E6500-0DF2-0D45-8671-E201F55A2642}">
            <x14:dataBar minLength="0" maxLength="100" gradient="0">
              <x14:cfvo type="autoMin"/>
              <x14:cfvo type="autoMax"/>
              <x14:negativeFillColor rgb="FFFF0000"/>
              <x14:axisColor rgb="FF000000"/>
            </x14:dataBar>
          </x14:cfRule>
          <xm:sqref>D14:D21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showGridLines="0" workbookViewId="0">
      <pane ySplit="1" topLeftCell="A2" activePane="bottomLeft" state="frozen"/>
      <selection pane="bottomLeft" activeCell="B14" sqref="B14"/>
    </sheetView>
  </sheetViews>
  <sheetFormatPr baseColWidth="10" defaultColWidth="8.83203125" defaultRowHeight="15" x14ac:dyDescent="0.2"/>
  <cols>
    <col min="1" max="1" width="30" customWidth="1"/>
    <col min="2" max="2" width="34.83203125" customWidth="1"/>
    <col min="3" max="3" width="21.6640625" customWidth="1"/>
    <col min="4" max="4" width="27.83203125" customWidth="1"/>
  </cols>
  <sheetData>
    <row r="1" spans="1:5" s="16" customFormat="1" ht="18" x14ac:dyDescent="0.2">
      <c r="A1" s="66" t="s">
        <v>67</v>
      </c>
      <c r="B1" s="66" t="s">
        <v>149</v>
      </c>
      <c r="C1" s="66" t="s">
        <v>147</v>
      </c>
      <c r="D1" s="66" t="s">
        <v>148</v>
      </c>
    </row>
    <row r="2" spans="1:5" x14ac:dyDescent="0.2">
      <c r="A2" s="24" t="s">
        <v>10</v>
      </c>
      <c r="B2" s="24" t="s">
        <v>44</v>
      </c>
      <c r="C2" s="24" t="s">
        <v>45</v>
      </c>
      <c r="D2" s="24" t="s">
        <v>46</v>
      </c>
    </row>
    <row r="3" spans="1:5" s="13" customFormat="1" x14ac:dyDescent="0.2">
      <c r="A3" s="38" t="s">
        <v>37</v>
      </c>
      <c r="B3" s="38" t="s">
        <v>47</v>
      </c>
      <c r="C3" s="38" t="s">
        <v>48</v>
      </c>
      <c r="D3" s="38" t="s">
        <v>49</v>
      </c>
    </row>
    <row r="4" spans="1:5" x14ac:dyDescent="0.2">
      <c r="A4" s="24" t="s">
        <v>34</v>
      </c>
      <c r="B4" s="24" t="s">
        <v>50</v>
      </c>
      <c r="C4" s="24" t="s">
        <v>51</v>
      </c>
      <c r="D4" s="24" t="s">
        <v>52</v>
      </c>
    </row>
    <row r="5" spans="1:5" s="13" customFormat="1" x14ac:dyDescent="0.2">
      <c r="A5" s="38" t="s">
        <v>2</v>
      </c>
      <c r="B5" s="38" t="s">
        <v>53</v>
      </c>
      <c r="C5" s="38" t="s">
        <v>54</v>
      </c>
      <c r="D5" s="38" t="s">
        <v>49</v>
      </c>
    </row>
    <row r="6" spans="1:5" x14ac:dyDescent="0.2">
      <c r="A6" s="24" t="s">
        <v>24</v>
      </c>
      <c r="B6" s="24" t="s">
        <v>55</v>
      </c>
      <c r="C6" s="24" t="s">
        <v>51</v>
      </c>
      <c r="D6" s="24" t="s">
        <v>56</v>
      </c>
    </row>
    <row r="7" spans="1:5" s="13" customFormat="1" x14ac:dyDescent="0.2">
      <c r="A7" s="38" t="s">
        <v>13</v>
      </c>
      <c r="B7" s="38" t="s">
        <v>57</v>
      </c>
      <c r="C7" s="38" t="s">
        <v>54</v>
      </c>
      <c r="D7" s="38" t="s">
        <v>58</v>
      </c>
    </row>
    <row r="8" spans="1:5" x14ac:dyDescent="0.2">
      <c r="A8" s="24" t="s">
        <v>20</v>
      </c>
      <c r="B8" s="24" t="s">
        <v>59</v>
      </c>
      <c r="C8" s="24" t="s">
        <v>54</v>
      </c>
      <c r="D8" s="24" t="s">
        <v>60</v>
      </c>
    </row>
    <row r="9" spans="1:5" s="13" customFormat="1" x14ac:dyDescent="0.2">
      <c r="A9" s="38" t="s">
        <v>7</v>
      </c>
      <c r="B9" s="38" t="s">
        <v>61</v>
      </c>
      <c r="C9" s="38" t="s">
        <v>54</v>
      </c>
      <c r="D9" s="38" t="s">
        <v>62</v>
      </c>
    </row>
    <row r="11" spans="1:5" ht="15" customHeight="1" x14ac:dyDescent="0.2">
      <c r="A11" s="37" t="s">
        <v>63</v>
      </c>
      <c r="B11" s="54"/>
      <c r="C11" s="54"/>
      <c r="D11" s="54"/>
    </row>
    <row r="12" spans="1:5" x14ac:dyDescent="0.2">
      <c r="A12" s="100" t="s">
        <v>146</v>
      </c>
      <c r="B12" s="100"/>
      <c r="C12" s="100"/>
      <c r="D12" s="100"/>
      <c r="E12" s="53"/>
    </row>
  </sheetData>
  <mergeCells count="1">
    <mergeCell ref="A12:D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Service Analysis</vt:lpstr>
      <vt:lpstr>Insights</vt:lpstr>
      <vt:lpstr>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mac</cp:lastModifiedBy>
  <dcterms:created xsi:type="dcterms:W3CDTF">2026-03-06T19:08:17Z</dcterms:created>
  <dcterms:modified xsi:type="dcterms:W3CDTF">2026-03-07T06:18:13Z</dcterms:modified>
</cp:coreProperties>
</file>